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279E\EXCELCNV\bd4cca45-e20d-4cb4-90af-a0e8bab1afa3\"/>
    </mc:Choice>
  </mc:AlternateContent>
  <xr:revisionPtr revIDLastSave="0" documentId="8_{FBEE3618-D055-42B8-96CF-1090B708AAC8}" xr6:coauthVersionLast="47" xr6:coauthVersionMax="47" xr10:uidLastSave="{00000000-0000-0000-0000-000000000000}"/>
  <bookViews>
    <workbookView xWindow="-60" yWindow="-60" windowWidth="15480" windowHeight="11640" firstSheet="2" activeTab="4" xr2:uid="{AEB46B05-80B0-42A4-8E0A-47FE75C96407}"/>
  </bookViews>
  <sheets>
    <sheet name="Raw_Bike_sales" sheetId="1" r:id="rId1"/>
    <sheet name="Working Sheet" sheetId="2" r:id="rId2"/>
    <sheet name="Pivot Table" sheetId="3" r:id="rId3"/>
    <sheet name="KPI Calculation" sheetId="4" r:id="rId4"/>
    <sheet name="Dashboard" sheetId="5" r:id="rId5"/>
  </sheets>
  <definedNames>
    <definedName name="_xlnm._FilterDatabase" localSheetId="0" hidden="1">Raw_Bike_sales!$A$1:$J$31</definedName>
    <definedName name="Slicer_CustomerType">#N/A</definedName>
    <definedName name="Slicer_Month">#N/A</definedName>
    <definedName name="Slicer_PaymentMethod">#N/A</definedName>
    <definedName name="Slicer_ProductCategory">#N/A</definedName>
    <definedName name="Slicer_Region">#N/A</definedName>
  </definedNames>
  <calcPr calcId="191028"/>
  <pivotCaches>
    <pivotCache cacheId="109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2" i="4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</calcChain>
</file>

<file path=xl/sharedStrings.xml><?xml version="1.0" encoding="utf-8"?>
<sst xmlns="http://schemas.openxmlformats.org/spreadsheetml/2006/main" count="427" uniqueCount="53">
  <si>
    <t>OrderID</t>
  </si>
  <si>
    <t>OrderDate</t>
  </si>
  <si>
    <t>Region</t>
  </si>
  <si>
    <t>Salesperson</t>
  </si>
  <si>
    <t>CustomerType</t>
  </si>
  <si>
    <t>ProductCategory</t>
  </si>
  <si>
    <t>Product</t>
  </si>
  <si>
    <t>Quantity</t>
  </si>
  <si>
    <t>UnitPrice</t>
  </si>
  <si>
    <t>PaymentMethod</t>
  </si>
  <si>
    <t>Nairobi</t>
  </si>
  <si>
    <t>James</t>
  </si>
  <si>
    <t>Returning</t>
  </si>
  <si>
    <t>Electronics</t>
  </si>
  <si>
    <t>Laptop</t>
  </si>
  <si>
    <t>Mpesa</t>
  </si>
  <si>
    <t>Mombasa</t>
  </si>
  <si>
    <t>Mary</t>
  </si>
  <si>
    <t>New</t>
  </si>
  <si>
    <t>Phone</t>
  </si>
  <si>
    <t>Cash</t>
  </si>
  <si>
    <t>Kisumu</t>
  </si>
  <si>
    <t>Peter</t>
  </si>
  <si>
    <t>Furniture</t>
  </si>
  <si>
    <t>Office Chair</t>
  </si>
  <si>
    <t>Bank Transfer</t>
  </si>
  <si>
    <t>Nakuru</t>
  </si>
  <si>
    <t>Jane</t>
  </si>
  <si>
    <t>Accessories</t>
  </si>
  <si>
    <t>Mouse</t>
  </si>
  <si>
    <t>David</t>
  </si>
  <si>
    <t>Tablet</t>
  </si>
  <si>
    <t>Credit Card</t>
  </si>
  <si>
    <t>Eldoret</t>
  </si>
  <si>
    <t>Susan</t>
  </si>
  <si>
    <t>Desk</t>
  </si>
  <si>
    <t>John</t>
  </si>
  <si>
    <t>Keyboard</t>
  </si>
  <si>
    <t>Grace</t>
  </si>
  <si>
    <t>Kevin</t>
  </si>
  <si>
    <t>Faith</t>
  </si>
  <si>
    <t>Month</t>
  </si>
  <si>
    <t>Total Sales</t>
  </si>
  <si>
    <t>Sum of Total Sales</t>
  </si>
  <si>
    <t>Grand Total</t>
  </si>
  <si>
    <t xml:space="preserve">  </t>
  </si>
  <si>
    <t>January</t>
  </si>
  <si>
    <t>February</t>
  </si>
  <si>
    <t>March</t>
  </si>
  <si>
    <t>Total Orders</t>
  </si>
  <si>
    <t>Total Revenue</t>
  </si>
  <si>
    <t>Average Orders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</si>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</sst>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</font>
    <font>
      <b/>
      <sz val="24"/>
      <color rgb="FF0D0D0D"/>
      <name val="Calibri"/>
      <scheme val="minor"/>
    </font>
    <font>
      <b/>
      <sz val="11"/>
      <color rgb="FF0000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6" fillId="0" borderId="0" xfId="0" applyFont="1"/>
    <xf numFmtId="0" fontId="18" fillId="0" borderId="0" xfId="0" applyFont="1"/>
    <xf numFmtId="14" fontId="18" fillId="0" borderId="0" xfId="0" applyNumberFormat="1" applyFont="1"/>
    <xf numFmtId="164" fontId="16" fillId="0" borderId="0" xfId="0" applyNumberFormat="1" applyFont="1"/>
    <xf numFmtId="164" fontId="18" fillId="0" borderId="0" xfId="0" applyNumberFormat="1" applyFont="1"/>
    <xf numFmtId="164" fontId="0" fillId="0" borderId="0" xfId="0" applyNumberFormat="1"/>
    <xf numFmtId="0" fontId="0" fillId="0" borderId="0" xfId="0" pivotButton="1"/>
    <xf numFmtId="14" fontId="0" fillId="0" borderId="0" xfId="0" applyNumberFormat="1"/>
    <xf numFmtId="14" fontId="16" fillId="0" borderId="0" xfId="0" applyNumberFormat="1" applyFont="1"/>
    <xf numFmtId="10" fontId="0" fillId="0" borderId="0" xfId="0" applyNumberFormat="1"/>
    <xf numFmtId="10" fontId="20" fillId="0" borderId="0" xfId="0" applyNumberFormat="1" applyFont="1"/>
    <xf numFmtId="0" fontId="19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font>
        <name val="Times New Roman"/>
      </font>
      <numFmt numFmtId="164" formatCode="&quot;$&quot;#,##0.00"/>
    </dxf>
    <dxf>
      <font>
        <name val="Times New Roman"/>
      </font>
    </dxf>
    <dxf>
      <font>
        <name val="Times New Roman"/>
      </font>
      <numFmt numFmtId="164" formatCode="&quot;$&quot;#,##0.00"/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9" formatCode="m/d/yyyy"/>
    </dxf>
    <dxf>
      <font>
        <name val="Times New Roman"/>
      </font>
      <numFmt numFmtId="19" formatCode="m/d/yyyy"/>
    </dxf>
    <dxf>
      <font>
        <name val="Times New Roman"/>
      </font>
    </dxf>
    <dxf>
      <font>
        <name val="Times New Roman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  <numFmt numFmtId="19" formatCode="m/d/yyyy"/>
    </dxf>
    <dxf>
      <font>
        <name val="Times New Roman"/>
      </font>
    </dxf>
    <dxf>
      <font>
        <name val="Times New Roman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[bike_sales_Dashboard.xlsx]Pivot Table!Sales by Region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Table'!$A$12:$A$17</c:f>
              <c:strCache>
                <c:ptCount val="5"/>
                <c:pt idx="0">
                  <c:v>Nairobi</c:v>
                </c:pt>
                <c:pt idx="1">
                  <c:v>Mombasa</c:v>
                </c:pt>
                <c:pt idx="2">
                  <c:v>Kisumu</c:v>
                </c:pt>
                <c:pt idx="3">
                  <c:v>Nakuru</c:v>
                </c:pt>
                <c:pt idx="4">
                  <c:v>Eldoret</c:v>
                </c:pt>
              </c:strCache>
            </c:strRef>
          </c:cat>
          <c:val>
            <c:numRef>
              <c:f>'Pivot Table'!$B$12:$B$17</c:f>
              <c:numCache>
                <c:formatCode>"$"#,##0.00</c:formatCode>
                <c:ptCount val="5"/>
                <c:pt idx="0">
                  <c:v>712000</c:v>
                </c:pt>
                <c:pt idx="1">
                  <c:v>415000</c:v>
                </c:pt>
                <c:pt idx="2">
                  <c:v>302000</c:v>
                </c:pt>
                <c:pt idx="3">
                  <c:v>172000</c:v>
                </c:pt>
                <c:pt idx="4">
                  <c:v>129400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CD-42C0-9839-A975BF006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484296"/>
        <c:axId val="1593486344"/>
      </c:barChart>
      <c:catAx>
        <c:axId val="1593484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486344"/>
        <c:crosses val="autoZero"/>
        <c:auto val="1"/>
        <c:lblAlgn val="ctr"/>
        <c:lblOffset val="100"/>
        <c:noMultiLvlLbl val="0"/>
      </c:catAx>
      <c:valAx>
        <c:axId val="1593486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484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[bike_sales_Dashboard.xlsx]Pivot Table!Sales by Region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Table'!$A$12:$A$17</c:f>
              <c:strCache>
                <c:ptCount val="5"/>
                <c:pt idx="0">
                  <c:v>Nairobi</c:v>
                </c:pt>
                <c:pt idx="1">
                  <c:v>Mombasa</c:v>
                </c:pt>
                <c:pt idx="2">
                  <c:v>Kisumu</c:v>
                </c:pt>
                <c:pt idx="3">
                  <c:v>Nakuru</c:v>
                </c:pt>
                <c:pt idx="4">
                  <c:v>Eldoret</c:v>
                </c:pt>
              </c:strCache>
            </c:strRef>
          </c:cat>
          <c:val>
            <c:numRef>
              <c:f>'Pivot Table'!$B$12:$B$17</c:f>
              <c:numCache>
                <c:formatCode>"$"#,##0.00</c:formatCode>
                <c:ptCount val="5"/>
                <c:pt idx="0">
                  <c:v>712000</c:v>
                </c:pt>
                <c:pt idx="1">
                  <c:v>415000</c:v>
                </c:pt>
                <c:pt idx="2">
                  <c:v>302000</c:v>
                </c:pt>
                <c:pt idx="3">
                  <c:v>172000</c:v>
                </c:pt>
                <c:pt idx="4">
                  <c:v>129400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D-4DB9-A3AA-A9D610D86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5748744"/>
        <c:axId val="1727589384"/>
      </c:barChart>
      <c:catAx>
        <c:axId val="1725748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589384"/>
        <c:crosses val="autoZero"/>
        <c:auto val="1"/>
        <c:lblAlgn val="ctr"/>
        <c:lblOffset val="100"/>
        <c:noMultiLvlLbl val="0"/>
      </c:catAx>
      <c:valAx>
        <c:axId val="1727589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748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[bike_sales_Dashboard.xlsx]Pivot Table!PivotTable3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Table'!$H$11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9E-4C27-A394-6D196C46B9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9E-4C27-A394-6D196C46B9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89E-4C27-A394-6D196C46B9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89E-4C27-A394-6D196C46B9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Table'!$G$12:$G$16</c:f>
              <c:strCache>
                <c:ptCount val="4"/>
                <c:pt idx="0">
                  <c:v>Credit Card</c:v>
                </c:pt>
                <c:pt idx="1">
                  <c:v>Mpesa</c:v>
                </c:pt>
                <c:pt idx="2">
                  <c:v>Cash</c:v>
                </c:pt>
                <c:pt idx="3">
                  <c:v>Bank Transfer</c:v>
                </c:pt>
              </c:strCache>
            </c:strRef>
          </c:cat>
          <c:val>
            <c:numRef>
              <c:f>'Pivot Table'!$H$12:$H$16</c:f>
              <c:numCache>
                <c:formatCode>"$"#,##0.00</c:formatCode>
                <c:ptCount val="4"/>
                <c:pt idx="0">
                  <c:v>672000</c:v>
                </c:pt>
                <c:pt idx="1">
                  <c:v>536000</c:v>
                </c:pt>
                <c:pt idx="2">
                  <c:v>361000</c:v>
                </c:pt>
                <c:pt idx="3">
                  <c:v>161400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9E-4C27-A394-6D196C46B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[bike_sales_Dashboard.xlsx]Pivot Table!P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Table'!$E$11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D7-4D3A-9388-38CA426F8A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D7-4D3A-9388-38CA426F8A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D7-4D3A-9388-38CA426F8AF8}"/>
              </c:ext>
            </c:extLst>
          </c:dPt>
          <c:cat>
            <c:strRef>
              <c:f>'Pivot Table'!$D$12:$D$15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Accessories</c:v>
                </c:pt>
              </c:strCache>
            </c:strRef>
          </c:cat>
          <c:val>
            <c:numRef>
              <c:f>'Pivot Table'!$E$12:$E$15</c:f>
              <c:numCache>
                <c:formatCode>"$"#,##0.00</c:formatCode>
                <c:ptCount val="3"/>
                <c:pt idx="0">
                  <c:v>1308000</c:v>
                </c:pt>
                <c:pt idx="1">
                  <c:v>294000</c:v>
                </c:pt>
                <c:pt idx="2">
                  <c:v>128400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D7-4D3A-9388-38CA426F8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[bike_sales_Dashboard.xlsx]Pivot Table!Monthly Sales Trend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Table'!$A$21:$A$24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'Pivot Table'!$B$21:$B$24</c:f>
              <c:numCache>
                <c:formatCode>"$"#,##0.00</c:formatCode>
                <c:ptCount val="3"/>
                <c:pt idx="0">
                  <c:v>594000</c:v>
                </c:pt>
                <c:pt idx="1">
                  <c:v>546400</c:v>
                </c:pt>
                <c:pt idx="2">
                  <c:v>590000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64-4783-B267-80FDF0A53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5632264"/>
        <c:axId val="1745667080"/>
      </c:lineChart>
      <c:catAx>
        <c:axId val="1745632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667080"/>
        <c:crosses val="autoZero"/>
        <c:auto val="1"/>
        <c:lblAlgn val="ctr"/>
        <c:lblOffset val="100"/>
        <c:noMultiLvlLbl val="0"/>
      </c:catAx>
      <c:valAx>
        <c:axId val="1745667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632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-5295900</xdr:colOff>
      <xdr:row>0</xdr:row>
      <xdr:rowOff>-466725</xdr:rowOff>
    </xdr:from>
    <xdr:to>
      <xdr:col>0</xdr:col>
      <xdr:colOff>-5295900</xdr:colOff>
      <xdr:row>0</xdr:row>
      <xdr:rowOff>-466725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Region">
              <a:extLst>
                <a:ext uri="{FF2B5EF4-FFF2-40B4-BE49-F238E27FC236}">
                  <a16:creationId xmlns:a16="http://schemas.microsoft.com/office/drawing/2014/main" id="{3CB6D2C3-5955-D8C2-B747-B2AD6A3CC8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-5295900" y="-466725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-28575</xdr:colOff>
      <xdr:row>0</xdr:row>
      <xdr:rowOff>85725</xdr:rowOff>
    </xdr:from>
    <xdr:to>
      <xdr:col>0</xdr:col>
      <xdr:colOff>-28575</xdr:colOff>
      <xdr:row>0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Region 1">
              <a:extLst>
                <a:ext uri="{FF2B5EF4-FFF2-40B4-BE49-F238E27FC236}">
                  <a16:creationId xmlns:a16="http://schemas.microsoft.com/office/drawing/2014/main" id="{D1743755-1943-15EB-8561-A4048FDF6D27}"/>
                </a:ext>
                <a:ext uri="{147F2762-F138-4A5C-976F-8EAC2B608ADB}">
                  <a16:predDERef xmlns:a16="http://schemas.microsoft.com/office/drawing/2014/main" pred="{3CB6D2C3-5955-D8C2-B747-B2AD6A3CC8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-28575" y="85725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161925</xdr:colOff>
      <xdr:row>0</xdr:row>
      <xdr:rowOff>161925</xdr:rowOff>
    </xdr:from>
    <xdr:to>
      <xdr:col>1</xdr:col>
      <xdr:colOff>952500</xdr:colOff>
      <xdr:row>9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Region 2">
              <a:extLst>
                <a:ext uri="{FF2B5EF4-FFF2-40B4-BE49-F238E27FC236}">
                  <a16:creationId xmlns:a16="http://schemas.microsoft.com/office/drawing/2014/main" id="{E2B53589-4438-34DB-47A1-455BDF0AD8D2}"/>
                </a:ext>
                <a:ext uri="{147F2762-F138-4A5C-976F-8EAC2B608ADB}">
                  <a16:predDERef xmlns:a16="http://schemas.microsoft.com/office/drawing/2014/main" pred="{D1743755-1943-15EB-8561-A4048FDF6D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925" y="161925"/>
              <a:ext cx="1552575" cy="167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962025</xdr:colOff>
      <xdr:row>0</xdr:row>
      <xdr:rowOff>161925</xdr:rowOff>
    </xdr:from>
    <xdr:to>
      <xdr:col>3</xdr:col>
      <xdr:colOff>676275</xdr:colOff>
      <xdr:row>9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ProductCategory">
              <a:extLst>
                <a:ext uri="{FF2B5EF4-FFF2-40B4-BE49-F238E27FC236}">
                  <a16:creationId xmlns:a16="http://schemas.microsoft.com/office/drawing/2014/main" id="{C63D80AE-884B-05D7-1353-1143385A23A1}"/>
                </a:ext>
                <a:ext uri="{147F2762-F138-4A5C-976F-8EAC2B608ADB}">
                  <a16:predDERef xmlns:a16="http://schemas.microsoft.com/office/drawing/2014/main" pred="{E2B53589-4438-34DB-47A1-455BDF0AD8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33550" y="161925"/>
              <a:ext cx="1466850" cy="167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685800</xdr:colOff>
      <xdr:row>0</xdr:row>
      <xdr:rowOff>161925</xdr:rowOff>
    </xdr:from>
    <xdr:to>
      <xdr:col>4</xdr:col>
      <xdr:colOff>828675</xdr:colOff>
      <xdr:row>9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PaymentMethod">
              <a:extLst>
                <a:ext uri="{FF2B5EF4-FFF2-40B4-BE49-F238E27FC236}">
                  <a16:creationId xmlns:a16="http://schemas.microsoft.com/office/drawing/2014/main" id="{54512661-55DD-A63B-BFBF-2A46F2B30757}"/>
                </a:ext>
                <a:ext uri="{147F2762-F138-4A5C-976F-8EAC2B608ADB}">
                  <a16:predDERef xmlns:a16="http://schemas.microsoft.com/office/drawing/2014/main" pred="{C63D80AE-884B-05D7-1353-1143385A23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0400" y="161925"/>
              <a:ext cx="1409700" cy="1695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4</xdr:col>
      <xdr:colOff>1114425</xdr:colOff>
      <xdr:row>0</xdr:row>
      <xdr:rowOff>171450</xdr:rowOff>
    </xdr:from>
    <xdr:to>
      <xdr:col>6</xdr:col>
      <xdr:colOff>752475</xdr:colOff>
      <xdr:row>9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Month">
              <a:extLst>
                <a:ext uri="{FF2B5EF4-FFF2-40B4-BE49-F238E27FC236}">
                  <a16:creationId xmlns:a16="http://schemas.microsoft.com/office/drawing/2014/main" id="{8618ADFF-FE29-1F75-EB19-CB2816C05F29}"/>
                </a:ext>
                <a:ext uri="{147F2762-F138-4A5C-976F-8EAC2B608ADB}">
                  <a16:predDERef xmlns:a16="http://schemas.microsoft.com/office/drawing/2014/main" pred="{54512661-55DD-A63B-BFBF-2A46F2B307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95850" y="171450"/>
              <a:ext cx="1562100" cy="1714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752475</xdr:colOff>
      <xdr:row>0</xdr:row>
      <xdr:rowOff>171450</xdr:rowOff>
    </xdr:from>
    <xdr:to>
      <xdr:col>7</xdr:col>
      <xdr:colOff>1123950</xdr:colOff>
      <xdr:row>9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CustomerType">
              <a:extLst>
                <a:ext uri="{FF2B5EF4-FFF2-40B4-BE49-F238E27FC236}">
                  <a16:creationId xmlns:a16="http://schemas.microsoft.com/office/drawing/2014/main" id="{E82126C5-EAF6-0FFD-265B-059A65BD330D}"/>
                </a:ext>
                <a:ext uri="{147F2762-F138-4A5C-976F-8EAC2B608ADB}">
                  <a16:predDERef xmlns:a16="http://schemas.microsoft.com/office/drawing/2014/main" pred="{8618ADFF-FE29-1F75-EB19-CB2816C05F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57950" y="171450"/>
              <a:ext cx="1647825" cy="1724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447675</xdr:colOff>
      <xdr:row>2</xdr:row>
      <xdr:rowOff>95250</xdr:rowOff>
    </xdr:from>
    <xdr:to>
      <xdr:col>4</xdr:col>
      <xdr:colOff>200025</xdr:colOff>
      <xdr:row>5</xdr:row>
      <xdr:rowOff>28575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DB11786-3026-AB47-E159-71ECBCE76243}"/>
            </a:ext>
            <a:ext uri="{147F2762-F138-4A5C-976F-8EAC2B608ADB}">
              <a16:predDERef xmlns:a16="http://schemas.microsoft.com/office/drawing/2014/main" pred="{B3620F37-0FBF-3D1E-2638-80E5872DF68A}"/>
            </a:ext>
          </a:extLst>
        </xdr:cNvPr>
        <xdr:cNvSpPr txBox="1"/>
      </xdr:nvSpPr>
      <xdr:spPr>
        <a:xfrm>
          <a:off x="1057275" y="685800"/>
          <a:ext cx="1581150" cy="504825"/>
        </a:xfrm>
        <a:prstGeom prst="rect">
          <a:avLst/>
        </a:prstGeom>
        <a:ln/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>
              <a:latin typeface="+mn-lt"/>
              <a:ea typeface="+mn-lt"/>
              <a:cs typeface="+mn-lt"/>
            </a:rPr>
            <a:t>TOTAL ORDERS</a:t>
          </a:r>
        </a:p>
        <a:p>
          <a:pPr marL="0" indent="0" algn="ctr"/>
          <a:r>
            <a:rPr lang="en-US" sz="1100">
              <a:latin typeface="+mn-lt"/>
              <a:ea typeface="+mn-lt"/>
              <a:cs typeface="+mn-lt"/>
            </a:rPr>
            <a:t>30</a:t>
          </a:r>
        </a:p>
      </xdr:txBody>
    </xdr:sp>
    <xdr:clientData/>
  </xdr:twoCellAnchor>
  <xdr:twoCellAnchor>
    <xdr:from>
      <xdr:col>4</xdr:col>
      <xdr:colOff>581025</xdr:colOff>
      <xdr:row>2</xdr:row>
      <xdr:rowOff>95250</xdr:rowOff>
    </xdr:from>
    <xdr:to>
      <xdr:col>7</xdr:col>
      <xdr:colOff>581025</xdr:colOff>
      <xdr:row>5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5CDA0D6-3AF5-4BB4-8743-EBE2CB4B5387}"/>
            </a:ext>
            <a:ext uri="{147F2762-F138-4A5C-976F-8EAC2B608ADB}">
              <a16:predDERef xmlns:a16="http://schemas.microsoft.com/office/drawing/2014/main" pred="{BDB11786-3026-AB47-E159-71ECBCE76243}"/>
            </a:ext>
          </a:extLst>
        </xdr:cNvPr>
        <xdr:cNvSpPr txBox="1"/>
      </xdr:nvSpPr>
      <xdr:spPr>
        <a:xfrm>
          <a:off x="3019425" y="685800"/>
          <a:ext cx="1828800" cy="495300"/>
        </a:xfrm>
        <a:prstGeom prst="rect">
          <a:avLst/>
        </a:prstGeom>
        <a:ln/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TOTAL Revenue</a:t>
          </a:r>
        </a:p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$1,730,400.00</a:t>
          </a:r>
        </a:p>
      </xdr:txBody>
    </xdr:sp>
    <xdr:clientData/>
  </xdr:twoCellAnchor>
  <xdr:twoCellAnchor>
    <xdr:from>
      <xdr:col>8</xdr:col>
      <xdr:colOff>447675</xdr:colOff>
      <xdr:row>2</xdr:row>
      <xdr:rowOff>123825</xdr:rowOff>
    </xdr:from>
    <xdr:to>
      <xdr:col>11</xdr:col>
      <xdr:colOff>428625</xdr:colOff>
      <xdr:row>5</xdr:row>
      <xdr:rowOff>47625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BC452A1-223C-4623-8A8C-1AB92A56B667}"/>
            </a:ext>
            <a:ext uri="{147F2762-F138-4A5C-976F-8EAC2B608ADB}">
              <a16:predDERef xmlns:a16="http://schemas.microsoft.com/office/drawing/2014/main" pred="{25CDA0D6-3AF5-4BB4-8743-EBE2CB4B5387}"/>
            </a:ext>
          </a:extLst>
        </xdr:cNvPr>
        <xdr:cNvSpPr txBox="1"/>
      </xdr:nvSpPr>
      <xdr:spPr>
        <a:xfrm>
          <a:off x="5324475" y="714375"/>
          <a:ext cx="1847850" cy="495300"/>
        </a:xfrm>
        <a:prstGeom prst="rect">
          <a:avLst/>
        </a:prstGeom>
        <a:ln/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Average ORDERS</a:t>
          </a:r>
        </a:p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$57,680.00</a:t>
          </a:r>
        </a:p>
      </xdr:txBody>
    </xdr:sp>
    <xdr:clientData/>
  </xdr:twoCellAnchor>
  <xdr:twoCellAnchor>
    <xdr:from>
      <xdr:col>0</xdr:col>
      <xdr:colOff>9525</xdr:colOff>
      <xdr:row>0</xdr:row>
      <xdr:rowOff>28575</xdr:rowOff>
    </xdr:from>
    <xdr:to>
      <xdr:col>0</xdr:col>
      <xdr:colOff>9525</xdr:colOff>
      <xdr:row>0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7362033-8B33-4F16-8995-25B408CDD3FC}"/>
            </a:ext>
            <a:ext uri="{147F2762-F138-4A5C-976F-8EAC2B608ADB}">
              <a16:predDERef xmlns:a16="http://schemas.microsoft.com/office/drawing/2014/main" pred="{DBC452A1-223C-4623-8A8C-1AB92A56B6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552450</xdr:colOff>
      <xdr:row>5</xdr:row>
      <xdr:rowOff>133350</xdr:rowOff>
    </xdr:from>
    <xdr:to>
      <xdr:col>7</xdr:col>
      <xdr:colOff>28575</xdr:colOff>
      <xdr:row>18</xdr:row>
      <xdr:rowOff>66675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7A5A0AD-894D-4A7A-B0AE-3DA7FD5E8B3B}"/>
            </a:ext>
            <a:ext uri="{147F2762-F138-4A5C-976F-8EAC2B608ADB}">
              <a16:predDERef xmlns:a16="http://schemas.microsoft.com/office/drawing/2014/main" pred="{97362033-8B33-4F16-8995-25B408CDD3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28575</xdr:colOff>
      <xdr:row>5</xdr:row>
      <xdr:rowOff>142875</xdr:rowOff>
    </xdr:from>
    <xdr:to>
      <xdr:col>12</xdr:col>
      <xdr:colOff>200025</xdr:colOff>
      <xdr:row>18</xdr:row>
      <xdr:rowOff>47625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8349B22-7798-437D-A308-70CE48689EF2}"/>
            </a:ext>
            <a:ext uri="{147F2762-F138-4A5C-976F-8EAC2B608ADB}">
              <a16:predDERef xmlns:a16="http://schemas.microsoft.com/office/drawing/2014/main" pred="{B7A5A0AD-894D-4A7A-B0AE-3DA7FD5E8B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542925</xdr:colOff>
      <xdr:row>18</xdr:row>
      <xdr:rowOff>76200</xdr:rowOff>
    </xdr:from>
    <xdr:to>
      <xdr:col>7</xdr:col>
      <xdr:colOff>19050</xdr:colOff>
      <xdr:row>29</xdr:row>
      <xdr:rowOff>19050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BC3A5BD-22ED-4A2D-AA6B-19E1EF7DE603}"/>
            </a:ext>
            <a:ext uri="{147F2762-F138-4A5C-976F-8EAC2B608ADB}">
              <a16:predDERef xmlns:a16="http://schemas.microsoft.com/office/drawing/2014/main" pred="{C8349B22-7798-437D-A308-70CE48689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19050</xdr:colOff>
      <xdr:row>18</xdr:row>
      <xdr:rowOff>66675</xdr:rowOff>
    </xdr:from>
    <xdr:to>
      <xdr:col>12</xdr:col>
      <xdr:colOff>200025</xdr:colOff>
      <xdr:row>29</xdr:row>
      <xdr:rowOff>28575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2C27725-FCDD-4E9C-AE50-5D63ACC6BB74}"/>
            </a:ext>
            <a:ext uri="{147F2762-F138-4A5C-976F-8EAC2B608ADB}">
              <a16:predDERef xmlns:a16="http://schemas.microsoft.com/office/drawing/2014/main" pred="{1BC3A5BD-22ED-4A2D-AA6B-19E1EF7DE6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6.666078009257" createdVersion="8" refreshedVersion="8" minRefreshableVersion="3" recordCount="30" xr:uid="{E7F92A4F-CE32-4301-8C87-F60EBA7F89ED}">
  <cacheSource type="worksheet">
    <worksheetSource name="Table13"/>
  </cacheSource>
  <cacheFields count="12">
    <cacheField name="OrderID" numFmtId="0">
      <sharedItems containsSemiMixedTypes="0" containsString="0" containsNumber="1" containsInteger="1" minValue="1001" maxValue="1030"/>
    </cacheField>
    <cacheField name="OrderDate" numFmtId="14">
      <sharedItems containsSemiMixedTypes="0" containsNonDate="0" containsDate="1" containsString="0" minDate="2025-01-03T00:00:00" maxDate="2025-03-31T00:00:00"/>
    </cacheField>
    <cacheField name="Month" numFmtId="14">
      <sharedItems count="3">
        <s v="January"/>
        <s v="February"/>
        <s v="March"/>
      </sharedItems>
    </cacheField>
    <cacheField name="Region" numFmtId="0">
      <sharedItems count="5">
        <s v="Nairobi"/>
        <s v="Mombasa"/>
        <s v="Kisumu"/>
        <s v="Nakuru"/>
        <s v="Eldoret"/>
      </sharedItems>
    </cacheField>
    <cacheField name="Salesperson" numFmtId="0">
      <sharedItems count="10">
        <s v="James"/>
        <s v="Mary"/>
        <s v="Peter"/>
        <s v="Jane"/>
        <s v="David"/>
        <s v="Susan"/>
        <s v="John"/>
        <s v="Grace"/>
        <s v="Kevin"/>
        <s v="Faith"/>
      </sharedItems>
    </cacheField>
    <cacheField name="CustomerType" numFmtId="0">
      <sharedItems count="2">
        <s v="Returning"/>
        <s v="New"/>
      </sharedItems>
    </cacheField>
    <cacheField name="ProductCategory" numFmtId="0">
      <sharedItems count="3">
        <s v="Electronics"/>
        <s v="Furniture"/>
        <s v="Accessories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20"/>
    </cacheField>
    <cacheField name="UnitPrice" numFmtId="164">
      <sharedItems containsSemiMixedTypes="0" containsString="0" containsNumber="1" containsInteger="1" minValue="1200" maxValue="65000"/>
    </cacheField>
    <cacheField name="PaymentMethod" numFmtId="0">
      <sharedItems count="4">
        <s v="Mpesa"/>
        <s v="Cash"/>
        <s v="Bank Transfer"/>
        <s v="Credit Card"/>
      </sharedItems>
    </cacheField>
    <cacheField name="Total Sales" numFmtId="164">
      <sharedItems containsSemiMixedTypes="0" containsString="0" containsNumber="1" containsInteger="1" minValue="12000" maxValue="130000"/>
    </cacheField>
  </cacheFields>
  <extLst>
    <ext xmlns:x14="http://schemas.microsoft.com/office/spreadsheetml/2009/9/main" uri="{725AE2AE-9491-48be-B2B4-4EB974FC3084}">
      <x14:pivotCacheDefinition pivotCacheId="12345229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1"/>
    <d v="2025-01-03T00:00:00"/>
    <x v="0"/>
    <x v="0"/>
    <x v="0"/>
    <x v="0"/>
    <x v="0"/>
    <s v="Laptop"/>
    <n v="2"/>
    <n v="65000"/>
    <x v="0"/>
    <n v="130000"/>
  </r>
  <r>
    <n v="1002"/>
    <d v="2025-01-05T00:00:00"/>
    <x v="0"/>
    <x v="1"/>
    <x v="1"/>
    <x v="1"/>
    <x v="0"/>
    <s v="Phone"/>
    <n v="3"/>
    <n v="25000"/>
    <x v="1"/>
    <n v="75000"/>
  </r>
  <r>
    <n v="1003"/>
    <d v="2025-01-07T00:00:00"/>
    <x v="0"/>
    <x v="2"/>
    <x v="2"/>
    <x v="0"/>
    <x v="1"/>
    <s v="Office Chair"/>
    <n v="4"/>
    <n v="8000"/>
    <x v="2"/>
    <n v="32000"/>
  </r>
  <r>
    <n v="1004"/>
    <d v="2025-01-09T00:00:00"/>
    <x v="0"/>
    <x v="3"/>
    <x v="3"/>
    <x v="1"/>
    <x v="2"/>
    <s v="Mouse"/>
    <n v="10"/>
    <n v="1200"/>
    <x v="0"/>
    <n v="12000"/>
  </r>
  <r>
    <n v="1005"/>
    <d v="2025-01-12T00:00:00"/>
    <x v="0"/>
    <x v="0"/>
    <x v="4"/>
    <x v="0"/>
    <x v="0"/>
    <s v="Tablet"/>
    <n v="5"/>
    <n v="18000"/>
    <x v="3"/>
    <n v="90000"/>
  </r>
  <r>
    <n v="1006"/>
    <d v="2025-01-15T00:00:00"/>
    <x v="0"/>
    <x v="4"/>
    <x v="5"/>
    <x v="1"/>
    <x v="1"/>
    <s v="Desk"/>
    <n v="2"/>
    <n v="15000"/>
    <x v="2"/>
    <n v="30000"/>
  </r>
  <r>
    <n v="1007"/>
    <d v="2025-01-17T00:00:00"/>
    <x v="0"/>
    <x v="0"/>
    <x v="6"/>
    <x v="0"/>
    <x v="2"/>
    <s v="Keyboard"/>
    <n v="6"/>
    <n v="2500"/>
    <x v="0"/>
    <n v="15000"/>
  </r>
  <r>
    <n v="1008"/>
    <d v="2025-01-20T00:00:00"/>
    <x v="0"/>
    <x v="1"/>
    <x v="7"/>
    <x v="1"/>
    <x v="0"/>
    <s v="Laptop"/>
    <n v="1"/>
    <n v="65000"/>
    <x v="3"/>
    <n v="65000"/>
  </r>
  <r>
    <n v="1009"/>
    <d v="2025-01-23T00:00:00"/>
    <x v="0"/>
    <x v="2"/>
    <x v="8"/>
    <x v="0"/>
    <x v="0"/>
    <s v="Phone"/>
    <n v="4"/>
    <n v="25000"/>
    <x v="0"/>
    <n v="100000"/>
  </r>
  <r>
    <n v="1010"/>
    <d v="2025-01-25T00:00:00"/>
    <x v="0"/>
    <x v="3"/>
    <x v="9"/>
    <x v="1"/>
    <x v="1"/>
    <s v="Desk"/>
    <n v="3"/>
    <n v="15000"/>
    <x v="1"/>
    <n v="45000"/>
  </r>
  <r>
    <n v="1011"/>
    <d v="2025-02-02T00:00:00"/>
    <x v="1"/>
    <x v="0"/>
    <x v="0"/>
    <x v="0"/>
    <x v="0"/>
    <s v="Phone"/>
    <n v="2"/>
    <n v="25000"/>
    <x v="0"/>
    <n v="50000"/>
  </r>
  <r>
    <n v="1012"/>
    <d v="2025-02-04T00:00:00"/>
    <x v="1"/>
    <x v="1"/>
    <x v="1"/>
    <x v="1"/>
    <x v="2"/>
    <s v="Mouse"/>
    <n v="15"/>
    <n v="1200"/>
    <x v="1"/>
    <n v="18000"/>
  </r>
  <r>
    <n v="1013"/>
    <d v="2025-02-08T00:00:00"/>
    <x v="1"/>
    <x v="4"/>
    <x v="5"/>
    <x v="0"/>
    <x v="1"/>
    <s v="Office Chair"/>
    <n v="5"/>
    <n v="8000"/>
    <x v="2"/>
    <n v="40000"/>
  </r>
  <r>
    <n v="1014"/>
    <d v="2025-02-10T00:00:00"/>
    <x v="1"/>
    <x v="0"/>
    <x v="4"/>
    <x v="1"/>
    <x v="0"/>
    <s v="Laptop"/>
    <n v="2"/>
    <n v="65000"/>
    <x v="3"/>
    <n v="130000"/>
  </r>
  <r>
    <n v="1015"/>
    <d v="2025-02-12T00:00:00"/>
    <x v="1"/>
    <x v="2"/>
    <x v="2"/>
    <x v="0"/>
    <x v="2"/>
    <s v="Keyboard"/>
    <n v="8"/>
    <n v="2500"/>
    <x v="0"/>
    <n v="20000"/>
  </r>
  <r>
    <n v="1016"/>
    <d v="2025-02-15T00:00:00"/>
    <x v="1"/>
    <x v="3"/>
    <x v="3"/>
    <x v="1"/>
    <x v="0"/>
    <s v="Tablet"/>
    <n v="3"/>
    <n v="18000"/>
    <x v="1"/>
    <n v="54000"/>
  </r>
  <r>
    <n v="1017"/>
    <d v="2025-02-18T00:00:00"/>
    <x v="1"/>
    <x v="0"/>
    <x v="6"/>
    <x v="0"/>
    <x v="1"/>
    <s v="Desk"/>
    <n v="2"/>
    <n v="15000"/>
    <x v="0"/>
    <n v="30000"/>
  </r>
  <r>
    <n v="1018"/>
    <d v="2025-02-22T00:00:00"/>
    <x v="1"/>
    <x v="1"/>
    <x v="7"/>
    <x v="1"/>
    <x v="0"/>
    <s v="Phone"/>
    <n v="5"/>
    <n v="25000"/>
    <x v="3"/>
    <n v="125000"/>
  </r>
  <r>
    <n v="1019"/>
    <d v="2025-02-25T00:00:00"/>
    <x v="1"/>
    <x v="4"/>
    <x v="8"/>
    <x v="0"/>
    <x v="2"/>
    <s v="Mouse"/>
    <n v="12"/>
    <n v="1200"/>
    <x v="2"/>
    <n v="14400"/>
  </r>
  <r>
    <n v="1020"/>
    <d v="2025-02-28T00:00:00"/>
    <x v="1"/>
    <x v="0"/>
    <x v="9"/>
    <x v="1"/>
    <x v="0"/>
    <s v="Laptop"/>
    <n v="1"/>
    <n v="65000"/>
    <x v="0"/>
    <n v="65000"/>
  </r>
  <r>
    <n v="1021"/>
    <d v="2025-03-03T00:00:00"/>
    <x v="2"/>
    <x v="0"/>
    <x v="0"/>
    <x v="0"/>
    <x v="1"/>
    <s v="Office Chair"/>
    <n v="4"/>
    <n v="8000"/>
    <x v="3"/>
    <n v="32000"/>
  </r>
  <r>
    <n v="1022"/>
    <d v="2025-03-05T00:00:00"/>
    <x v="2"/>
    <x v="1"/>
    <x v="1"/>
    <x v="1"/>
    <x v="0"/>
    <s v="Tablet"/>
    <n v="6"/>
    <n v="18000"/>
    <x v="1"/>
    <n v="108000"/>
  </r>
  <r>
    <n v="1023"/>
    <d v="2025-03-08T00:00:00"/>
    <x v="2"/>
    <x v="2"/>
    <x v="2"/>
    <x v="0"/>
    <x v="0"/>
    <s v="Phone"/>
    <n v="2"/>
    <n v="25000"/>
    <x v="0"/>
    <n v="50000"/>
  </r>
  <r>
    <n v="1024"/>
    <d v="2025-03-11T00:00:00"/>
    <x v="2"/>
    <x v="3"/>
    <x v="3"/>
    <x v="1"/>
    <x v="2"/>
    <s v="Keyboard"/>
    <n v="10"/>
    <n v="2500"/>
    <x v="1"/>
    <n v="25000"/>
  </r>
  <r>
    <n v="1025"/>
    <d v="2025-03-15T00:00:00"/>
    <x v="2"/>
    <x v="4"/>
    <x v="5"/>
    <x v="0"/>
    <x v="1"/>
    <s v="Desk"/>
    <n v="3"/>
    <n v="15000"/>
    <x v="2"/>
    <n v="45000"/>
  </r>
  <r>
    <n v="1026"/>
    <d v="2025-03-18T00:00:00"/>
    <x v="2"/>
    <x v="0"/>
    <x v="4"/>
    <x v="1"/>
    <x v="0"/>
    <s v="Laptop"/>
    <n v="2"/>
    <n v="65000"/>
    <x v="3"/>
    <n v="130000"/>
  </r>
  <r>
    <n v="1027"/>
    <d v="2025-03-21T00:00:00"/>
    <x v="2"/>
    <x v="1"/>
    <x v="7"/>
    <x v="0"/>
    <x v="2"/>
    <s v="Mouse"/>
    <n v="20"/>
    <n v="1200"/>
    <x v="0"/>
    <n v="24000"/>
  </r>
  <r>
    <n v="1028"/>
    <d v="2025-03-24T00:00:00"/>
    <x v="2"/>
    <x v="2"/>
    <x v="8"/>
    <x v="1"/>
    <x v="0"/>
    <s v="Phone"/>
    <n v="4"/>
    <n v="25000"/>
    <x v="3"/>
    <n v="100000"/>
  </r>
  <r>
    <n v="1029"/>
    <d v="2025-03-27T00:00:00"/>
    <x v="2"/>
    <x v="0"/>
    <x v="6"/>
    <x v="0"/>
    <x v="1"/>
    <s v="Office Chair"/>
    <n v="5"/>
    <n v="8000"/>
    <x v="0"/>
    <n v="40000"/>
  </r>
  <r>
    <n v="1030"/>
    <d v="2025-03-30T00:00:00"/>
    <x v="2"/>
    <x v="3"/>
    <x v="9"/>
    <x v="1"/>
    <x v="0"/>
    <s v="Tablet"/>
    <n v="2"/>
    <n v="18000"/>
    <x v="1"/>
    <n v="36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37FFA1-B55F-4746-AF25-EC504B132DFE}" name="PivotTable5" cacheId="10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17:E28" firstHeaderRow="1" firstDataRow="1" firstDataCol="1"/>
  <pivotFields count="12">
    <pivotField compact="0" outline="0" showAll="0"/>
    <pivotField compact="0" numFmtId="14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6">
        <item x="4"/>
        <item x="2"/>
        <item x="1"/>
        <item x="0"/>
        <item x="3"/>
        <item t="default"/>
      </items>
    </pivotField>
    <pivotField axis="axisRow" compact="0" outline="0" showAll="0" sortType="descending">
      <items count="11">
        <item x="4"/>
        <item x="9"/>
        <item x="7"/>
        <item x="0"/>
        <item x="3"/>
        <item x="6"/>
        <item x="8"/>
        <item x="1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3">
        <item x="1"/>
        <item x="0"/>
        <item t="default"/>
      </items>
    </pivotField>
    <pivotField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dataField="1" compact="0" numFmtId="164" outline="0" showAll="0"/>
  </pivotFields>
  <rowFields count="1">
    <field x="4"/>
  </rowFields>
  <rowItems count="11">
    <i>
      <x/>
    </i>
    <i>
      <x v="6"/>
    </i>
    <i>
      <x v="2"/>
    </i>
    <i>
      <x v="3"/>
    </i>
    <i>
      <x v="7"/>
    </i>
    <i>
      <x v="1"/>
    </i>
    <i>
      <x v="9"/>
    </i>
    <i>
      <x v="8"/>
    </i>
    <i>
      <x v="4"/>
    </i>
    <i>
      <x v="5"/>
    </i>
    <i t="grand">
      <x/>
    </i>
  </rowItems>
  <colItems count="1">
    <i/>
  </colItems>
  <dataFields count="1">
    <dataField name="Sum of Total Sales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951EA-8B01-4B83-8D98-C139959997F1}" name="Monthly Sales Trend" cacheId="10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20:B24" firstHeaderRow="1" firstDataRow="1" firstDataCol="1"/>
  <pivotFields count="12">
    <pivotField compact="0" outline="0" showAll="0"/>
    <pivotField compact="0" numFmtId="14" outline="0" showAll="0"/>
    <pivotField axis="axisRow" compact="0" outline="0" showAll="0" sortType="ascending">
      <items count="4">
        <item x="0"/>
        <item x="1"/>
        <item x="2"/>
        <item t="default"/>
      </items>
    </pivotField>
    <pivotField compact="0" outline="0" showAll="0">
      <items count="6">
        <item x="4"/>
        <item x="2"/>
        <item x="1"/>
        <item x="0"/>
        <item x="3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dataField="1" compact="0" numFmtId="16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11" baseField="0" baseItem="0" numFmtId="164"/>
  </dataField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95ACC-A01D-4BD7-B434-A913626AFBE2}" name="PivotTable3" cacheId="10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G11:H16" firstHeaderRow="1" firstDataRow="1" firstDataCol="1"/>
  <pivotFields count="12">
    <pivotField compact="0" outline="0" showAll="0"/>
    <pivotField compact="0" numFmtId="14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6">
        <item x="4"/>
        <item x="2"/>
        <item x="1"/>
        <item x="0"/>
        <item x="3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numFmtId="164" outline="0" showAll="0"/>
    <pivotField axis="axisRow" compact="0" outline="0" showAll="0" sortType="descending">
      <items count="5"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64" outline="0" showAll="0"/>
  </pivotFields>
  <rowFields count="1">
    <field x="10"/>
  </rowFields>
  <rowItems count="5">
    <i>
      <x v="2"/>
    </i>
    <i>
      <x v="3"/>
    </i>
    <i>
      <x v="1"/>
    </i>
    <i>
      <x/>
    </i>
    <i t="grand">
      <x/>
    </i>
  </rowItems>
  <colItems count="1">
    <i/>
  </colItems>
  <dataFields count="1">
    <dataField name="Sum of Total Sales" fld="11" baseField="0" baseItem="0" numFmtId="164"/>
  </dataFields>
  <formats count="2">
    <format dxfId="26">
      <pivotArea outline="0" collapsedLevelsAreSubtotals="1" fieldPosition="0"/>
    </format>
    <format dxfId="27">
      <pivotArea dataOnly="0" labelOnly="1" outline="0" axis="axisValues" fieldPosition="0"/>
    </format>
  </formats>
  <chartFormats count="3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7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74DA76-988C-40F2-85A2-7C32B44B1B3F}" name="P" cacheId="10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11:E15" firstHeaderRow="1" firstDataRow="1" firstDataCol="1"/>
  <pivotFields count="12">
    <pivotField compact="0" outline="0" showAll="0"/>
    <pivotField compact="0" numFmtId="14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6">
        <item x="4"/>
        <item x="2"/>
        <item x="1"/>
        <item x="0"/>
        <item x="3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axis="axisRow" compact="0" outline="0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64" outline="0" showAll="0"/>
    <pivotField compact="0" outline="0" showAll="0"/>
    <pivotField dataField="1" compact="0" numFmtId="164" outline="0" showAll="0"/>
  </pivotFields>
  <rowFields count="1">
    <field x="6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Total Sales" fld="11" baseField="0" baseItem="0" numFmtId="164"/>
  </dataFields>
  <chartFormats count="1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635E1F-4BFA-4478-A5AA-20E7C28BC777}" name="Sales by Region" cacheId="10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11:B17" firstHeaderRow="1" firstDataRow="1" firstDataCol="1"/>
  <pivotFields count="12">
    <pivotField compact="0" outline="0" showAll="0"/>
    <pivotField compact="0" numFmtId="14" outline="0" showAll="0"/>
    <pivotField compact="0" outline="0" showAll="0">
      <items count="4">
        <item x="0"/>
        <item x="1"/>
        <item x="2"/>
        <item t="default"/>
      </items>
    </pivotField>
    <pivotField axis="axisRow" compact="0" outline="0" showAll="0" sortType="descending">
      <items count="6">
        <item x="4"/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dataField="1" compact="0" numFmtId="164" outline="0" showAll="0"/>
  </pivotFields>
  <rowFields count="1">
    <field x="3"/>
  </rowFields>
  <rowItems count="6">
    <i>
      <x v="3"/>
    </i>
    <i>
      <x v="2"/>
    </i>
    <i>
      <x v="1"/>
    </i>
    <i>
      <x v="4"/>
    </i>
    <i>
      <x/>
    </i>
    <i t="grand">
      <x/>
    </i>
  </rowItems>
  <colItems count="1">
    <i/>
  </colItems>
  <dataFields count="1">
    <dataField name="Sum of Total Sales" fld="11" baseField="0" baseItem="0" numFmtId="164"/>
  </dataFields>
  <chartFormats count="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EEDAC4CB-C85E-4190-AEE6-E2A0E3D44498}" sourceName="Region">
  <pivotTables>
    <pivotTable tabId="3" name="Sales by Region"/>
    <pivotTable tabId="3" name="P"/>
    <pivotTable tabId="3" name="PivotTable3"/>
    <pivotTable tabId="3" name="Monthly Sales Trend"/>
    <pivotTable tabId="3" name="PivotTable5"/>
  </pivotTables>
  <data>
    <tabular pivotCacheId="1234522981">
      <items count="5">
        <i x="4" s="1"/>
        <i x="2" s="1"/>
        <i x="1" s="1"/>
        <i x="0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Category" xr10:uid="{C02552BC-F764-415D-9A79-CD017AF93624}" sourceName="ProductCategory">
  <pivotTables>
    <pivotTable tabId="3" name="P"/>
    <pivotTable tabId="3" name="PivotTable5"/>
    <pivotTable tabId="3" name="PivotTable3"/>
    <pivotTable tabId="3" name="Monthly Sales Trend"/>
    <pivotTable tabId="3" name="Sales by Region"/>
  </pivotTables>
  <data>
    <tabular pivotCacheId="1234522981">
      <items count="3">
        <i x="2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Method" xr10:uid="{1A146F76-0651-4137-B687-5D029C8D7F7F}" sourceName="PaymentMethod">
  <pivotTables>
    <pivotTable tabId="3" name="PivotTable3"/>
  </pivotTables>
  <data>
    <tabular pivotCacheId="1234522981">
      <items count="4">
        <i x="2" s="1"/>
        <i x="1" s="1"/>
        <i x="3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227247B6-5F7E-4936-A2C4-02D3587DEC5F}" sourceName="Month">
  <pivotTables>
    <pivotTable tabId="3" name="Monthly Sales Trend"/>
    <pivotTable tabId="3" name="PivotTable5"/>
    <pivotTable tabId="3" name="PivotTable3"/>
    <pivotTable tabId="3" name="P"/>
    <pivotTable tabId="3" name="Sales by Region"/>
  </pivotTables>
  <data>
    <tabular pivotCacheId="1234522981">
      <items count="3">
        <i x="0" s="1"/>
        <i x="1" s="1"/>
        <i x="2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ustomerType" xr10:uid="{622C6F28-8775-4698-80A4-AE7B0CAFD21E}" sourceName="CustomerType">
  <pivotTables>
    <pivotTable tabId="3" name="PivotTable5"/>
    <pivotTable tabId="3" name="Monthly Sales Trend"/>
    <pivotTable tabId="3" name="PivotTable3"/>
    <pivotTable tabId="3" name="P"/>
    <pivotTable tabId="3" name="Sales by Region"/>
  </pivotTables>
  <data>
    <tabular pivotCacheId="1234522981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F2B03880-82A0-4E3A-97C6-D20BA4C29C5B}" cache="Slicer_Region" caption="Region" rowHeight="228600"/>
  <slicer name="Region 1" xr10:uid="{5DE2CE0B-5ACB-4397-B09B-915E6800C718}" cache="Slicer_Region" caption="Region" rowHeight="228600"/>
  <slicer name="Region 2" xr10:uid="{A1D30CB4-751D-4A4E-BE3C-89D0E77495E9}" cache="Slicer_Region" caption="Region" rowHeight="228600"/>
  <slicer name="ProductCategory" xr10:uid="{3CDAF167-1FE9-43C7-801E-49DD62FD21EE}" cache="Slicer_ProductCategory" caption="ProductCategory" rowHeight="228600"/>
  <slicer name="PaymentMethod" xr10:uid="{6FF497BF-7234-469D-91DD-05DB39016E5D}" cache="Slicer_PaymentMethod" caption="PaymentMethod" rowHeight="228600"/>
  <slicer name="Month" xr10:uid="{13DE68C6-54D5-4644-916B-7B0116B65F16}" cache="Slicer_Month" caption="Month" rowHeight="228600"/>
  <slicer name="CustomerType" xr10:uid="{37003E26-0C37-46F5-A354-F9E346010C18}" cache="Slicer_CustomerType" caption="CustomerTyp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B9683D-68BD-4C5A-B8C4-613CB4F1A628}" name="Table1" displayName="Table1" ref="A1:J31" totalsRowShown="0" headerRowDxfId="25" dataDxfId="24">
  <autoFilter ref="A1:J31" xr:uid="{8A08A8DF-A552-4BA8-A978-5AB57FEA93D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2525A17E-0AC2-4A09-9038-978A28037830}" name="OrderID" dataDxfId="23"/>
    <tableColumn id="2" xr3:uid="{013E9E26-C130-4C6D-94CD-3D1A83C43DB3}" name="OrderDate" dataDxfId="22"/>
    <tableColumn id="3" xr3:uid="{BFA3E7A1-1BFB-423C-8A5F-6B979A7BB25D}" name="Region" dataDxfId="21"/>
    <tableColumn id="4" xr3:uid="{8F328DA4-A286-429A-A904-3D35C0AF48F4}" name="Salesperson" dataDxfId="20"/>
    <tableColumn id="5" xr3:uid="{BC030170-F539-4AAC-A22D-C4C9CE94EC8B}" name="CustomerType" dataDxfId="19"/>
    <tableColumn id="6" xr3:uid="{48F54951-2057-4E17-BE68-4607C7F33FBB}" name="ProductCategory" dataDxfId="18"/>
    <tableColumn id="7" xr3:uid="{ADAFDE47-95A8-46CC-832C-8D45DE19E172}" name="Product" dataDxfId="17"/>
    <tableColumn id="8" xr3:uid="{5BFA7BD0-A40A-4D04-8609-69EDB25E443D}" name="Quantity" dataDxfId="16"/>
    <tableColumn id="9" xr3:uid="{69A638B3-9002-4E02-94E9-14580015F085}" name="UnitPrice" dataDxfId="15"/>
    <tableColumn id="10" xr3:uid="{36B7F73B-2024-4F7F-BAAC-565393177CBD}" name="PaymentMethod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00166B-1E1F-4903-ADF5-577125D7D3AC}" name="Table13" displayName="Table13" ref="A1:L31" totalsRowShown="0" headerRowDxfId="13" dataDxfId="12">
  <autoFilter ref="A1:L31" xr:uid="{8100166B-1E1F-4903-ADF5-577125D7D3AC}"/>
  <tableColumns count="12">
    <tableColumn id="1" xr3:uid="{2F2BC542-95B2-4485-A158-92CE7C64E61A}" name="OrderID" dataDxfId="11"/>
    <tableColumn id="2" xr3:uid="{775F1C9D-3B02-4747-B1CF-5AF36A97D9F8}" name="OrderDate" dataDxfId="10"/>
    <tableColumn id="18" xr3:uid="{C17A4869-CE15-41F2-911C-BF22B7FA42F5}" name="Month" dataDxfId="9">
      <calculatedColumnFormula>TEXT(Table13[[#This Row],[OrderDate]],"mmmm")</calculatedColumnFormula>
    </tableColumn>
    <tableColumn id="3" xr3:uid="{67F8A7EB-1E86-49C7-8875-1D6978F0AD05}" name="Region" dataDxfId="8"/>
    <tableColumn id="4" xr3:uid="{1415D355-C77E-4A81-873F-6F19B1CF0033}" name="Salesperson" dataDxfId="7"/>
    <tableColumn id="5" xr3:uid="{F218FB5B-AE93-4437-B4EF-4668AAFFE4F3}" name="CustomerType" dataDxfId="6"/>
    <tableColumn id="6" xr3:uid="{645F83EB-DCF2-469F-B91B-F49A5ED8CD1E}" name="ProductCategory" dataDxfId="5"/>
    <tableColumn id="7" xr3:uid="{2538D36C-916B-4E57-AF8A-CA647E10EB67}" name="Product" dataDxfId="4"/>
    <tableColumn id="8" xr3:uid="{1D59B3C9-8A96-4D24-9105-7CF90F182DC1}" name="Quantity" dataDxfId="3"/>
    <tableColumn id="9" xr3:uid="{F80CAB54-8BE2-4C7A-ACA0-4719AD6D1427}" name="UnitPrice" dataDxfId="2"/>
    <tableColumn id="10" xr3:uid="{731CC2C5-034D-45AB-AE16-F5E2F97301B8}" name="PaymentMethod" dataDxfId="1"/>
    <tableColumn id="16" xr3:uid="{B0E7EC0F-60F2-48DB-AAC0-3C35AF71AFB3}" name="Total Sales" dataDxfId="0">
      <calculatedColumnFormula>Table13[[#This Row],[Quantity]]*Table13[[#This Row],[UnitPrice]]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8A8DF-A552-4BA8-A978-5AB57FEA93D1}">
  <dimension ref="A1:J31"/>
  <sheetViews>
    <sheetView topLeftCell="A28" workbookViewId="0">
      <selection sqref="A1:J31"/>
    </sheetView>
  </sheetViews>
  <sheetFormatPr defaultRowHeight="15"/>
  <cols>
    <col min="1" max="1" width="10.28515625" bestFit="1" customWidth="1"/>
    <col min="2" max="2" width="12.5703125" bestFit="1" customWidth="1"/>
    <col min="3" max="3" width="9.5703125" bestFit="1" customWidth="1"/>
    <col min="4" max="4" width="13.85546875" bestFit="1" customWidth="1"/>
    <col min="5" max="5" width="16" bestFit="1" customWidth="1"/>
    <col min="6" max="6" width="18.140625" bestFit="1" customWidth="1"/>
    <col min="7" max="8" width="11" bestFit="1" customWidth="1"/>
    <col min="9" max="9" width="11.42578125" bestFit="1" customWidth="1"/>
    <col min="10" max="10" width="18.28515625" bestFit="1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1001</v>
      </c>
      <c r="B2" s="3">
        <v>45660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2</v>
      </c>
      <c r="I2" s="2">
        <v>65000</v>
      </c>
      <c r="J2" s="2" t="s">
        <v>15</v>
      </c>
    </row>
    <row r="3" spans="1:10">
      <c r="A3" s="2">
        <v>1002</v>
      </c>
      <c r="B3" s="3">
        <v>45662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19</v>
      </c>
      <c r="H3" s="2">
        <v>3</v>
      </c>
      <c r="I3" s="2">
        <v>25000</v>
      </c>
      <c r="J3" s="2" t="s">
        <v>20</v>
      </c>
    </row>
    <row r="4" spans="1:10">
      <c r="A4" s="2">
        <v>1003</v>
      </c>
      <c r="B4" s="3">
        <v>45664</v>
      </c>
      <c r="C4" s="2" t="s">
        <v>21</v>
      </c>
      <c r="D4" s="2" t="s">
        <v>22</v>
      </c>
      <c r="E4" s="2" t="s">
        <v>12</v>
      </c>
      <c r="F4" s="2" t="s">
        <v>23</v>
      </c>
      <c r="G4" s="2" t="s">
        <v>24</v>
      </c>
      <c r="H4" s="2">
        <v>4</v>
      </c>
      <c r="I4" s="2">
        <v>8000</v>
      </c>
      <c r="J4" s="2" t="s">
        <v>25</v>
      </c>
    </row>
    <row r="5" spans="1:10">
      <c r="A5" s="2">
        <v>1004</v>
      </c>
      <c r="B5" s="3">
        <v>45666</v>
      </c>
      <c r="C5" s="2" t="s">
        <v>26</v>
      </c>
      <c r="D5" s="2" t="s">
        <v>27</v>
      </c>
      <c r="E5" s="2" t="s">
        <v>18</v>
      </c>
      <c r="F5" s="2" t="s">
        <v>28</v>
      </c>
      <c r="G5" s="2" t="s">
        <v>29</v>
      </c>
      <c r="H5" s="2">
        <v>10</v>
      </c>
      <c r="I5" s="2">
        <v>1200</v>
      </c>
      <c r="J5" s="2" t="s">
        <v>15</v>
      </c>
    </row>
    <row r="6" spans="1:10">
      <c r="A6" s="2">
        <v>1005</v>
      </c>
      <c r="B6" s="3">
        <v>45669</v>
      </c>
      <c r="C6" s="2" t="s">
        <v>10</v>
      </c>
      <c r="D6" s="2" t="s">
        <v>30</v>
      </c>
      <c r="E6" s="2" t="s">
        <v>12</v>
      </c>
      <c r="F6" s="2" t="s">
        <v>13</v>
      </c>
      <c r="G6" s="2" t="s">
        <v>31</v>
      </c>
      <c r="H6" s="2">
        <v>5</v>
      </c>
      <c r="I6" s="2">
        <v>18000</v>
      </c>
      <c r="J6" s="2" t="s">
        <v>32</v>
      </c>
    </row>
    <row r="7" spans="1:10">
      <c r="A7" s="2">
        <v>1006</v>
      </c>
      <c r="B7" s="3">
        <v>45672</v>
      </c>
      <c r="C7" s="2" t="s">
        <v>33</v>
      </c>
      <c r="D7" s="2" t="s">
        <v>34</v>
      </c>
      <c r="E7" s="2" t="s">
        <v>18</v>
      </c>
      <c r="F7" s="2" t="s">
        <v>23</v>
      </c>
      <c r="G7" s="2" t="s">
        <v>35</v>
      </c>
      <c r="H7" s="2">
        <v>2</v>
      </c>
      <c r="I7" s="2">
        <v>15000</v>
      </c>
      <c r="J7" s="2" t="s">
        <v>25</v>
      </c>
    </row>
    <row r="8" spans="1:10">
      <c r="A8" s="2">
        <v>1007</v>
      </c>
      <c r="B8" s="3">
        <v>45674</v>
      </c>
      <c r="C8" s="2" t="s">
        <v>10</v>
      </c>
      <c r="D8" s="2" t="s">
        <v>36</v>
      </c>
      <c r="E8" s="2" t="s">
        <v>12</v>
      </c>
      <c r="F8" s="2" t="s">
        <v>28</v>
      </c>
      <c r="G8" s="2" t="s">
        <v>37</v>
      </c>
      <c r="H8" s="2">
        <v>6</v>
      </c>
      <c r="I8" s="2">
        <v>2500</v>
      </c>
      <c r="J8" s="2" t="s">
        <v>15</v>
      </c>
    </row>
    <row r="9" spans="1:10">
      <c r="A9" s="2">
        <v>1008</v>
      </c>
      <c r="B9" s="3">
        <v>45677</v>
      </c>
      <c r="C9" s="2" t="s">
        <v>16</v>
      </c>
      <c r="D9" s="2" t="s">
        <v>38</v>
      </c>
      <c r="E9" s="2" t="s">
        <v>18</v>
      </c>
      <c r="F9" s="2" t="s">
        <v>13</v>
      </c>
      <c r="G9" s="2" t="s">
        <v>14</v>
      </c>
      <c r="H9" s="2">
        <v>1</v>
      </c>
      <c r="I9" s="2">
        <v>65000</v>
      </c>
      <c r="J9" s="2" t="s">
        <v>32</v>
      </c>
    </row>
    <row r="10" spans="1:10">
      <c r="A10" s="2">
        <v>1009</v>
      </c>
      <c r="B10" s="3">
        <v>45680</v>
      </c>
      <c r="C10" s="2" t="s">
        <v>21</v>
      </c>
      <c r="D10" s="2" t="s">
        <v>39</v>
      </c>
      <c r="E10" s="2" t="s">
        <v>12</v>
      </c>
      <c r="F10" s="2" t="s">
        <v>13</v>
      </c>
      <c r="G10" s="2" t="s">
        <v>19</v>
      </c>
      <c r="H10" s="2">
        <v>4</v>
      </c>
      <c r="I10" s="2">
        <v>25000</v>
      </c>
      <c r="J10" s="2" t="s">
        <v>15</v>
      </c>
    </row>
    <row r="11" spans="1:10">
      <c r="A11" s="2">
        <v>1010</v>
      </c>
      <c r="B11" s="3">
        <v>45682</v>
      </c>
      <c r="C11" s="2" t="s">
        <v>26</v>
      </c>
      <c r="D11" s="2" t="s">
        <v>40</v>
      </c>
      <c r="E11" s="2" t="s">
        <v>18</v>
      </c>
      <c r="F11" s="2" t="s">
        <v>23</v>
      </c>
      <c r="G11" s="2" t="s">
        <v>35</v>
      </c>
      <c r="H11" s="2">
        <v>3</v>
      </c>
      <c r="I11" s="2">
        <v>15000</v>
      </c>
      <c r="J11" s="2" t="s">
        <v>20</v>
      </c>
    </row>
    <row r="12" spans="1:10">
      <c r="A12" s="2">
        <v>1011</v>
      </c>
      <c r="B12" s="3">
        <v>45690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19</v>
      </c>
      <c r="H12" s="2">
        <v>2</v>
      </c>
      <c r="I12" s="2">
        <v>25000</v>
      </c>
      <c r="J12" s="2" t="s">
        <v>15</v>
      </c>
    </row>
    <row r="13" spans="1:10">
      <c r="A13" s="2">
        <v>1012</v>
      </c>
      <c r="B13" s="3">
        <v>45692</v>
      </c>
      <c r="C13" s="2" t="s">
        <v>16</v>
      </c>
      <c r="D13" s="2" t="s">
        <v>17</v>
      </c>
      <c r="E13" s="2" t="s">
        <v>18</v>
      </c>
      <c r="F13" s="2" t="s">
        <v>28</v>
      </c>
      <c r="G13" s="2" t="s">
        <v>29</v>
      </c>
      <c r="H13" s="2">
        <v>15</v>
      </c>
      <c r="I13" s="2">
        <v>1200</v>
      </c>
      <c r="J13" s="2" t="s">
        <v>20</v>
      </c>
    </row>
    <row r="14" spans="1:10">
      <c r="A14" s="2">
        <v>1013</v>
      </c>
      <c r="B14" s="3">
        <v>45696</v>
      </c>
      <c r="C14" s="2" t="s">
        <v>33</v>
      </c>
      <c r="D14" s="2" t="s">
        <v>34</v>
      </c>
      <c r="E14" s="2" t="s">
        <v>12</v>
      </c>
      <c r="F14" s="2" t="s">
        <v>23</v>
      </c>
      <c r="G14" s="2" t="s">
        <v>24</v>
      </c>
      <c r="H14" s="2">
        <v>5</v>
      </c>
      <c r="I14" s="2">
        <v>8000</v>
      </c>
      <c r="J14" s="2" t="s">
        <v>25</v>
      </c>
    </row>
    <row r="15" spans="1:10">
      <c r="A15" s="2">
        <v>1014</v>
      </c>
      <c r="B15" s="3">
        <v>45698</v>
      </c>
      <c r="C15" s="2" t="s">
        <v>10</v>
      </c>
      <c r="D15" s="2" t="s">
        <v>30</v>
      </c>
      <c r="E15" s="2" t="s">
        <v>18</v>
      </c>
      <c r="F15" s="2" t="s">
        <v>13</v>
      </c>
      <c r="G15" s="2" t="s">
        <v>14</v>
      </c>
      <c r="H15" s="2">
        <v>2</v>
      </c>
      <c r="I15" s="2">
        <v>65000</v>
      </c>
      <c r="J15" s="2" t="s">
        <v>32</v>
      </c>
    </row>
    <row r="16" spans="1:10">
      <c r="A16" s="2">
        <v>1015</v>
      </c>
      <c r="B16" s="3">
        <v>45700</v>
      </c>
      <c r="C16" s="2" t="s">
        <v>21</v>
      </c>
      <c r="D16" s="2" t="s">
        <v>22</v>
      </c>
      <c r="E16" s="2" t="s">
        <v>12</v>
      </c>
      <c r="F16" s="2" t="s">
        <v>28</v>
      </c>
      <c r="G16" s="2" t="s">
        <v>37</v>
      </c>
      <c r="H16" s="2">
        <v>8</v>
      </c>
      <c r="I16" s="2">
        <v>2500</v>
      </c>
      <c r="J16" s="2" t="s">
        <v>15</v>
      </c>
    </row>
    <row r="17" spans="1:10">
      <c r="A17" s="2">
        <v>1016</v>
      </c>
      <c r="B17" s="3">
        <v>45703</v>
      </c>
      <c r="C17" s="2" t="s">
        <v>26</v>
      </c>
      <c r="D17" s="2" t="s">
        <v>27</v>
      </c>
      <c r="E17" s="2" t="s">
        <v>18</v>
      </c>
      <c r="F17" s="2" t="s">
        <v>13</v>
      </c>
      <c r="G17" s="2" t="s">
        <v>31</v>
      </c>
      <c r="H17" s="2">
        <v>3</v>
      </c>
      <c r="I17" s="2">
        <v>18000</v>
      </c>
      <c r="J17" s="2" t="s">
        <v>20</v>
      </c>
    </row>
    <row r="18" spans="1:10">
      <c r="A18" s="2">
        <v>1017</v>
      </c>
      <c r="B18" s="3">
        <v>45706</v>
      </c>
      <c r="C18" s="2" t="s">
        <v>10</v>
      </c>
      <c r="D18" s="2" t="s">
        <v>36</v>
      </c>
      <c r="E18" s="2" t="s">
        <v>12</v>
      </c>
      <c r="F18" s="2" t="s">
        <v>23</v>
      </c>
      <c r="G18" s="2" t="s">
        <v>35</v>
      </c>
      <c r="H18" s="2">
        <v>2</v>
      </c>
      <c r="I18" s="2">
        <v>15000</v>
      </c>
      <c r="J18" s="2" t="s">
        <v>15</v>
      </c>
    </row>
    <row r="19" spans="1:10">
      <c r="A19" s="2">
        <v>1018</v>
      </c>
      <c r="B19" s="3">
        <v>45710</v>
      </c>
      <c r="C19" s="2" t="s">
        <v>16</v>
      </c>
      <c r="D19" s="2" t="s">
        <v>38</v>
      </c>
      <c r="E19" s="2" t="s">
        <v>18</v>
      </c>
      <c r="F19" s="2" t="s">
        <v>13</v>
      </c>
      <c r="G19" s="2" t="s">
        <v>19</v>
      </c>
      <c r="H19" s="2">
        <v>5</v>
      </c>
      <c r="I19" s="2">
        <v>25000</v>
      </c>
      <c r="J19" s="2" t="s">
        <v>32</v>
      </c>
    </row>
    <row r="20" spans="1:10">
      <c r="A20" s="2">
        <v>1019</v>
      </c>
      <c r="B20" s="3">
        <v>45713</v>
      </c>
      <c r="C20" s="2" t="s">
        <v>33</v>
      </c>
      <c r="D20" s="2" t="s">
        <v>39</v>
      </c>
      <c r="E20" s="2" t="s">
        <v>12</v>
      </c>
      <c r="F20" s="2" t="s">
        <v>28</v>
      </c>
      <c r="G20" s="2" t="s">
        <v>29</v>
      </c>
      <c r="H20" s="2">
        <v>12</v>
      </c>
      <c r="I20" s="2">
        <v>1200</v>
      </c>
      <c r="J20" s="2" t="s">
        <v>25</v>
      </c>
    </row>
    <row r="21" spans="1:10">
      <c r="A21" s="2">
        <v>1020</v>
      </c>
      <c r="B21" s="3">
        <v>45716</v>
      </c>
      <c r="C21" s="2" t="s">
        <v>10</v>
      </c>
      <c r="D21" s="2" t="s">
        <v>40</v>
      </c>
      <c r="E21" s="2" t="s">
        <v>18</v>
      </c>
      <c r="F21" s="2" t="s">
        <v>13</v>
      </c>
      <c r="G21" s="2" t="s">
        <v>14</v>
      </c>
      <c r="H21" s="2">
        <v>1</v>
      </c>
      <c r="I21" s="2">
        <v>65000</v>
      </c>
      <c r="J21" s="2" t="s">
        <v>15</v>
      </c>
    </row>
    <row r="22" spans="1:10">
      <c r="A22" s="2">
        <v>1021</v>
      </c>
      <c r="B22" s="3">
        <v>45719</v>
      </c>
      <c r="C22" s="2" t="s">
        <v>10</v>
      </c>
      <c r="D22" s="2" t="s">
        <v>11</v>
      </c>
      <c r="E22" s="2" t="s">
        <v>12</v>
      </c>
      <c r="F22" s="2" t="s">
        <v>23</v>
      </c>
      <c r="G22" s="2" t="s">
        <v>24</v>
      </c>
      <c r="H22" s="2">
        <v>4</v>
      </c>
      <c r="I22" s="2">
        <v>8000</v>
      </c>
      <c r="J22" s="2" t="s">
        <v>32</v>
      </c>
    </row>
    <row r="23" spans="1:10">
      <c r="A23" s="2">
        <v>1022</v>
      </c>
      <c r="B23" s="3">
        <v>45721</v>
      </c>
      <c r="C23" s="2" t="s">
        <v>16</v>
      </c>
      <c r="D23" s="2" t="s">
        <v>17</v>
      </c>
      <c r="E23" s="2" t="s">
        <v>18</v>
      </c>
      <c r="F23" s="2" t="s">
        <v>13</v>
      </c>
      <c r="G23" s="2" t="s">
        <v>31</v>
      </c>
      <c r="H23" s="2">
        <v>6</v>
      </c>
      <c r="I23" s="2">
        <v>18000</v>
      </c>
      <c r="J23" s="2" t="s">
        <v>20</v>
      </c>
    </row>
    <row r="24" spans="1:10">
      <c r="A24" s="2">
        <v>1023</v>
      </c>
      <c r="B24" s="3">
        <v>45724</v>
      </c>
      <c r="C24" s="2" t="s">
        <v>21</v>
      </c>
      <c r="D24" s="2" t="s">
        <v>22</v>
      </c>
      <c r="E24" s="2" t="s">
        <v>12</v>
      </c>
      <c r="F24" s="2" t="s">
        <v>13</v>
      </c>
      <c r="G24" s="2" t="s">
        <v>19</v>
      </c>
      <c r="H24" s="2">
        <v>2</v>
      </c>
      <c r="I24" s="2">
        <v>25000</v>
      </c>
      <c r="J24" s="2" t="s">
        <v>15</v>
      </c>
    </row>
    <row r="25" spans="1:10">
      <c r="A25" s="2">
        <v>1024</v>
      </c>
      <c r="B25" s="3">
        <v>45727</v>
      </c>
      <c r="C25" s="2" t="s">
        <v>26</v>
      </c>
      <c r="D25" s="2" t="s">
        <v>27</v>
      </c>
      <c r="E25" s="2" t="s">
        <v>18</v>
      </c>
      <c r="F25" s="2" t="s">
        <v>28</v>
      </c>
      <c r="G25" s="2" t="s">
        <v>37</v>
      </c>
      <c r="H25" s="2">
        <v>10</v>
      </c>
      <c r="I25" s="2">
        <v>2500</v>
      </c>
      <c r="J25" s="2" t="s">
        <v>20</v>
      </c>
    </row>
    <row r="26" spans="1:10">
      <c r="A26" s="2">
        <v>1025</v>
      </c>
      <c r="B26" s="3">
        <v>45731</v>
      </c>
      <c r="C26" s="2" t="s">
        <v>33</v>
      </c>
      <c r="D26" s="2" t="s">
        <v>34</v>
      </c>
      <c r="E26" s="2" t="s">
        <v>12</v>
      </c>
      <c r="F26" s="2" t="s">
        <v>23</v>
      </c>
      <c r="G26" s="2" t="s">
        <v>35</v>
      </c>
      <c r="H26" s="2">
        <v>3</v>
      </c>
      <c r="I26" s="2">
        <v>15000</v>
      </c>
      <c r="J26" s="2" t="s">
        <v>25</v>
      </c>
    </row>
    <row r="27" spans="1:10">
      <c r="A27" s="2">
        <v>1026</v>
      </c>
      <c r="B27" s="3">
        <v>45734</v>
      </c>
      <c r="C27" s="2" t="s">
        <v>10</v>
      </c>
      <c r="D27" s="2" t="s">
        <v>30</v>
      </c>
      <c r="E27" s="2" t="s">
        <v>18</v>
      </c>
      <c r="F27" s="2" t="s">
        <v>13</v>
      </c>
      <c r="G27" s="2" t="s">
        <v>14</v>
      </c>
      <c r="H27" s="2">
        <v>2</v>
      </c>
      <c r="I27" s="2">
        <v>65000</v>
      </c>
      <c r="J27" s="2" t="s">
        <v>32</v>
      </c>
    </row>
    <row r="28" spans="1:10">
      <c r="A28" s="2">
        <v>1027</v>
      </c>
      <c r="B28" s="3">
        <v>45737</v>
      </c>
      <c r="C28" s="2" t="s">
        <v>16</v>
      </c>
      <c r="D28" s="2" t="s">
        <v>38</v>
      </c>
      <c r="E28" s="2" t="s">
        <v>12</v>
      </c>
      <c r="F28" s="2" t="s">
        <v>28</v>
      </c>
      <c r="G28" s="2" t="s">
        <v>29</v>
      </c>
      <c r="H28" s="2">
        <v>20</v>
      </c>
      <c r="I28" s="2">
        <v>1200</v>
      </c>
      <c r="J28" s="2" t="s">
        <v>15</v>
      </c>
    </row>
    <row r="29" spans="1:10">
      <c r="A29" s="2">
        <v>1028</v>
      </c>
      <c r="B29" s="3">
        <v>45740</v>
      </c>
      <c r="C29" s="2" t="s">
        <v>21</v>
      </c>
      <c r="D29" s="2" t="s">
        <v>39</v>
      </c>
      <c r="E29" s="2" t="s">
        <v>18</v>
      </c>
      <c r="F29" s="2" t="s">
        <v>13</v>
      </c>
      <c r="G29" s="2" t="s">
        <v>19</v>
      </c>
      <c r="H29" s="2">
        <v>4</v>
      </c>
      <c r="I29" s="2">
        <v>25000</v>
      </c>
      <c r="J29" s="2" t="s">
        <v>32</v>
      </c>
    </row>
    <row r="30" spans="1:10">
      <c r="A30" s="2">
        <v>1029</v>
      </c>
      <c r="B30" s="3">
        <v>45743</v>
      </c>
      <c r="C30" s="2" t="s">
        <v>10</v>
      </c>
      <c r="D30" s="2" t="s">
        <v>36</v>
      </c>
      <c r="E30" s="2" t="s">
        <v>12</v>
      </c>
      <c r="F30" s="2" t="s">
        <v>23</v>
      </c>
      <c r="G30" s="2" t="s">
        <v>24</v>
      </c>
      <c r="H30" s="2">
        <v>5</v>
      </c>
      <c r="I30" s="2">
        <v>8000</v>
      </c>
      <c r="J30" s="2" t="s">
        <v>15</v>
      </c>
    </row>
    <row r="31" spans="1:10">
      <c r="A31" s="2">
        <v>1030</v>
      </c>
      <c r="B31" s="3">
        <v>45746</v>
      </c>
      <c r="C31" s="2" t="s">
        <v>26</v>
      </c>
      <c r="D31" s="2" t="s">
        <v>40</v>
      </c>
      <c r="E31" s="2" t="s">
        <v>18</v>
      </c>
      <c r="F31" s="2" t="s">
        <v>13</v>
      </c>
      <c r="G31" s="2" t="s">
        <v>31</v>
      </c>
      <c r="H31" s="2">
        <v>2</v>
      </c>
      <c r="I31" s="2">
        <v>18000</v>
      </c>
      <c r="J31" s="2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A005-0915-418C-9024-118B11B7E727}">
  <dimension ref="A1:L33"/>
  <sheetViews>
    <sheetView workbookViewId="0">
      <selection activeCell="G33" sqref="G33:L33"/>
    </sheetView>
  </sheetViews>
  <sheetFormatPr defaultRowHeight="15"/>
  <cols>
    <col min="1" max="1" width="10.28515625" bestFit="1" customWidth="1"/>
    <col min="2" max="2" width="12.5703125" style="8" bestFit="1" customWidth="1"/>
    <col min="3" max="3" width="12.5703125" style="8" customWidth="1"/>
    <col min="4" max="4" width="9.28515625" bestFit="1" customWidth="1"/>
    <col min="5" max="5" width="13.85546875" bestFit="1" customWidth="1"/>
    <col min="6" max="6" width="16" bestFit="1" customWidth="1"/>
    <col min="7" max="7" width="18.140625" bestFit="1" customWidth="1"/>
    <col min="8" max="8" width="11.5703125" bestFit="1" customWidth="1"/>
    <col min="9" max="9" width="11" bestFit="1" customWidth="1"/>
    <col min="10" max="10" width="11.42578125" style="6" bestFit="1" customWidth="1"/>
    <col min="11" max="11" width="18.28515625" bestFit="1" customWidth="1"/>
    <col min="12" max="12" width="13.28515625" bestFit="1" customWidth="1"/>
  </cols>
  <sheetData>
    <row r="1" spans="1:12">
      <c r="A1" s="1" t="s">
        <v>0</v>
      </c>
      <c r="B1" s="9" t="s">
        <v>1</v>
      </c>
      <c r="C1" s="9" t="s">
        <v>41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4" t="s">
        <v>8</v>
      </c>
      <c r="K1" s="1" t="s">
        <v>9</v>
      </c>
      <c r="L1" s="1" t="s">
        <v>42</v>
      </c>
    </row>
    <row r="2" spans="1:12">
      <c r="A2" s="2">
        <v>1001</v>
      </c>
      <c r="B2" s="3">
        <v>45660</v>
      </c>
      <c r="C2" s="3" t="str">
        <f>TEXT(Table13[[#This Row],[OrderDate]],"mmmm")</f>
        <v>January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>
        <v>2</v>
      </c>
      <c r="J2" s="5">
        <v>65000</v>
      </c>
      <c r="K2" s="2" t="s">
        <v>15</v>
      </c>
      <c r="L2" s="5">
        <f>Table13[[#This Row],[Quantity]]*Table13[[#This Row],[UnitPrice]]</f>
        <v>130000</v>
      </c>
    </row>
    <row r="3" spans="1:12">
      <c r="A3" s="2">
        <v>1002</v>
      </c>
      <c r="B3" s="3">
        <v>45662</v>
      </c>
      <c r="C3" s="3" t="str">
        <f>TEXT(Table13[[#This Row],[OrderDate]],"mmmm")</f>
        <v>January</v>
      </c>
      <c r="D3" s="2" t="s">
        <v>16</v>
      </c>
      <c r="E3" s="2" t="s">
        <v>17</v>
      </c>
      <c r="F3" s="2" t="s">
        <v>18</v>
      </c>
      <c r="G3" s="2" t="s">
        <v>13</v>
      </c>
      <c r="H3" s="2" t="s">
        <v>19</v>
      </c>
      <c r="I3" s="2">
        <v>3</v>
      </c>
      <c r="J3" s="5">
        <v>25000</v>
      </c>
      <c r="K3" s="2" t="s">
        <v>20</v>
      </c>
      <c r="L3" s="5">
        <f>Table13[[#This Row],[Quantity]]*Table13[[#This Row],[UnitPrice]]</f>
        <v>75000</v>
      </c>
    </row>
    <row r="4" spans="1:12">
      <c r="A4" s="2">
        <v>1003</v>
      </c>
      <c r="B4" s="3">
        <v>45664</v>
      </c>
      <c r="C4" s="3" t="str">
        <f>TEXT(Table13[[#This Row],[OrderDate]],"mmmm")</f>
        <v>January</v>
      </c>
      <c r="D4" s="2" t="s">
        <v>21</v>
      </c>
      <c r="E4" s="2" t="s">
        <v>22</v>
      </c>
      <c r="F4" s="2" t="s">
        <v>12</v>
      </c>
      <c r="G4" s="2" t="s">
        <v>23</v>
      </c>
      <c r="H4" s="2" t="s">
        <v>24</v>
      </c>
      <c r="I4" s="2">
        <v>4</v>
      </c>
      <c r="J4" s="5">
        <v>8000</v>
      </c>
      <c r="K4" s="2" t="s">
        <v>25</v>
      </c>
      <c r="L4" s="5">
        <f>Table13[[#This Row],[Quantity]]*Table13[[#This Row],[UnitPrice]]</f>
        <v>32000</v>
      </c>
    </row>
    <row r="5" spans="1:12">
      <c r="A5" s="2">
        <v>1004</v>
      </c>
      <c r="B5" s="3">
        <v>45666</v>
      </c>
      <c r="C5" s="3" t="str">
        <f>TEXT(Table13[[#This Row],[OrderDate]],"mmmm")</f>
        <v>January</v>
      </c>
      <c r="D5" s="2" t="s">
        <v>26</v>
      </c>
      <c r="E5" s="2" t="s">
        <v>27</v>
      </c>
      <c r="F5" s="2" t="s">
        <v>18</v>
      </c>
      <c r="G5" s="2" t="s">
        <v>28</v>
      </c>
      <c r="H5" s="2" t="s">
        <v>29</v>
      </c>
      <c r="I5" s="2">
        <v>10</v>
      </c>
      <c r="J5" s="5">
        <v>1200</v>
      </c>
      <c r="K5" s="2" t="s">
        <v>15</v>
      </c>
      <c r="L5" s="5">
        <f>Table13[[#This Row],[Quantity]]*Table13[[#This Row],[UnitPrice]]</f>
        <v>12000</v>
      </c>
    </row>
    <row r="6" spans="1:12">
      <c r="A6" s="2">
        <v>1005</v>
      </c>
      <c r="B6" s="3">
        <v>45669</v>
      </c>
      <c r="C6" s="3" t="str">
        <f>TEXT(Table13[[#This Row],[OrderDate]],"mmmm")</f>
        <v>January</v>
      </c>
      <c r="D6" s="2" t="s">
        <v>10</v>
      </c>
      <c r="E6" s="2" t="s">
        <v>30</v>
      </c>
      <c r="F6" s="2" t="s">
        <v>12</v>
      </c>
      <c r="G6" s="2" t="s">
        <v>13</v>
      </c>
      <c r="H6" s="2" t="s">
        <v>31</v>
      </c>
      <c r="I6" s="2">
        <v>5</v>
      </c>
      <c r="J6" s="5">
        <v>18000</v>
      </c>
      <c r="K6" s="2" t="s">
        <v>32</v>
      </c>
      <c r="L6" s="5">
        <f>Table13[[#This Row],[Quantity]]*Table13[[#This Row],[UnitPrice]]</f>
        <v>90000</v>
      </c>
    </row>
    <row r="7" spans="1:12">
      <c r="A7" s="2">
        <v>1006</v>
      </c>
      <c r="B7" s="3">
        <v>45672</v>
      </c>
      <c r="C7" s="3" t="str">
        <f>TEXT(Table13[[#This Row],[OrderDate]],"mmmm")</f>
        <v>January</v>
      </c>
      <c r="D7" s="2" t="s">
        <v>33</v>
      </c>
      <c r="E7" s="2" t="s">
        <v>34</v>
      </c>
      <c r="F7" s="2" t="s">
        <v>18</v>
      </c>
      <c r="G7" s="2" t="s">
        <v>23</v>
      </c>
      <c r="H7" s="2" t="s">
        <v>35</v>
      </c>
      <c r="I7" s="2">
        <v>2</v>
      </c>
      <c r="J7" s="5">
        <v>15000</v>
      </c>
      <c r="K7" s="2" t="s">
        <v>25</v>
      </c>
      <c r="L7" s="5">
        <f>Table13[[#This Row],[Quantity]]*Table13[[#This Row],[UnitPrice]]</f>
        <v>30000</v>
      </c>
    </row>
    <row r="8" spans="1:12">
      <c r="A8" s="2">
        <v>1007</v>
      </c>
      <c r="B8" s="3">
        <v>45674</v>
      </c>
      <c r="C8" s="3" t="str">
        <f>TEXT(Table13[[#This Row],[OrderDate]],"mmmm")</f>
        <v>January</v>
      </c>
      <c r="D8" s="2" t="s">
        <v>10</v>
      </c>
      <c r="E8" s="2" t="s">
        <v>36</v>
      </c>
      <c r="F8" s="2" t="s">
        <v>12</v>
      </c>
      <c r="G8" s="2" t="s">
        <v>28</v>
      </c>
      <c r="H8" s="2" t="s">
        <v>37</v>
      </c>
      <c r="I8" s="2">
        <v>6</v>
      </c>
      <c r="J8" s="5">
        <v>2500</v>
      </c>
      <c r="K8" s="2" t="s">
        <v>15</v>
      </c>
      <c r="L8" s="5">
        <f>Table13[[#This Row],[Quantity]]*Table13[[#This Row],[UnitPrice]]</f>
        <v>15000</v>
      </c>
    </row>
    <row r="9" spans="1:12">
      <c r="A9" s="2">
        <v>1008</v>
      </c>
      <c r="B9" s="3">
        <v>45677</v>
      </c>
      <c r="C9" s="3" t="str">
        <f>TEXT(Table13[[#This Row],[OrderDate]],"mmmm")</f>
        <v>January</v>
      </c>
      <c r="D9" s="2" t="s">
        <v>16</v>
      </c>
      <c r="E9" s="2" t="s">
        <v>38</v>
      </c>
      <c r="F9" s="2" t="s">
        <v>18</v>
      </c>
      <c r="G9" s="2" t="s">
        <v>13</v>
      </c>
      <c r="H9" s="2" t="s">
        <v>14</v>
      </c>
      <c r="I9" s="2">
        <v>1</v>
      </c>
      <c r="J9" s="5">
        <v>65000</v>
      </c>
      <c r="K9" s="2" t="s">
        <v>32</v>
      </c>
      <c r="L9" s="5">
        <f>Table13[[#This Row],[Quantity]]*Table13[[#This Row],[UnitPrice]]</f>
        <v>65000</v>
      </c>
    </row>
    <row r="10" spans="1:12">
      <c r="A10" s="2">
        <v>1009</v>
      </c>
      <c r="B10" s="3">
        <v>45680</v>
      </c>
      <c r="C10" s="3" t="str">
        <f>TEXT(Table13[[#This Row],[OrderDate]],"mmmm")</f>
        <v>January</v>
      </c>
      <c r="D10" s="2" t="s">
        <v>21</v>
      </c>
      <c r="E10" s="2" t="s">
        <v>39</v>
      </c>
      <c r="F10" s="2" t="s">
        <v>12</v>
      </c>
      <c r="G10" s="2" t="s">
        <v>13</v>
      </c>
      <c r="H10" s="2" t="s">
        <v>19</v>
      </c>
      <c r="I10" s="2">
        <v>4</v>
      </c>
      <c r="J10" s="5">
        <v>25000</v>
      </c>
      <c r="K10" s="2" t="s">
        <v>15</v>
      </c>
      <c r="L10" s="5">
        <f>Table13[[#This Row],[Quantity]]*Table13[[#This Row],[UnitPrice]]</f>
        <v>100000</v>
      </c>
    </row>
    <row r="11" spans="1:12">
      <c r="A11" s="2">
        <v>1010</v>
      </c>
      <c r="B11" s="3">
        <v>45682</v>
      </c>
      <c r="C11" s="3" t="str">
        <f>TEXT(Table13[[#This Row],[OrderDate]],"mmmm")</f>
        <v>January</v>
      </c>
      <c r="D11" s="2" t="s">
        <v>26</v>
      </c>
      <c r="E11" s="2" t="s">
        <v>40</v>
      </c>
      <c r="F11" s="2" t="s">
        <v>18</v>
      </c>
      <c r="G11" s="2" t="s">
        <v>23</v>
      </c>
      <c r="H11" s="2" t="s">
        <v>35</v>
      </c>
      <c r="I11" s="2">
        <v>3</v>
      </c>
      <c r="J11" s="5">
        <v>15000</v>
      </c>
      <c r="K11" s="2" t="s">
        <v>20</v>
      </c>
      <c r="L11" s="5">
        <f>Table13[[#This Row],[Quantity]]*Table13[[#This Row],[UnitPrice]]</f>
        <v>45000</v>
      </c>
    </row>
    <row r="12" spans="1:12">
      <c r="A12" s="2">
        <v>1011</v>
      </c>
      <c r="B12" s="3">
        <v>45690</v>
      </c>
      <c r="C12" s="3" t="str">
        <f>TEXT(Table13[[#This Row],[OrderDate]],"mmmm")</f>
        <v>February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19</v>
      </c>
      <c r="I12" s="2">
        <v>2</v>
      </c>
      <c r="J12" s="5">
        <v>25000</v>
      </c>
      <c r="K12" s="2" t="s">
        <v>15</v>
      </c>
      <c r="L12" s="5">
        <f>Table13[[#This Row],[Quantity]]*Table13[[#This Row],[UnitPrice]]</f>
        <v>50000</v>
      </c>
    </row>
    <row r="13" spans="1:12">
      <c r="A13" s="2">
        <v>1012</v>
      </c>
      <c r="B13" s="3">
        <v>45692</v>
      </c>
      <c r="C13" s="3" t="str">
        <f>TEXT(Table13[[#This Row],[OrderDate]],"mmmm")</f>
        <v>February</v>
      </c>
      <c r="D13" s="2" t="s">
        <v>16</v>
      </c>
      <c r="E13" s="2" t="s">
        <v>17</v>
      </c>
      <c r="F13" s="2" t="s">
        <v>18</v>
      </c>
      <c r="G13" s="2" t="s">
        <v>28</v>
      </c>
      <c r="H13" s="2" t="s">
        <v>29</v>
      </c>
      <c r="I13" s="2">
        <v>15</v>
      </c>
      <c r="J13" s="5">
        <v>1200</v>
      </c>
      <c r="K13" s="2" t="s">
        <v>20</v>
      </c>
      <c r="L13" s="5">
        <f>Table13[[#This Row],[Quantity]]*Table13[[#This Row],[UnitPrice]]</f>
        <v>18000</v>
      </c>
    </row>
    <row r="14" spans="1:12">
      <c r="A14" s="2">
        <v>1013</v>
      </c>
      <c r="B14" s="3">
        <v>45696</v>
      </c>
      <c r="C14" s="3" t="str">
        <f>TEXT(Table13[[#This Row],[OrderDate]],"mmmm")</f>
        <v>February</v>
      </c>
      <c r="D14" s="2" t="s">
        <v>33</v>
      </c>
      <c r="E14" s="2" t="s">
        <v>34</v>
      </c>
      <c r="F14" s="2" t="s">
        <v>12</v>
      </c>
      <c r="G14" s="2" t="s">
        <v>23</v>
      </c>
      <c r="H14" s="2" t="s">
        <v>24</v>
      </c>
      <c r="I14" s="2">
        <v>5</v>
      </c>
      <c r="J14" s="5">
        <v>8000</v>
      </c>
      <c r="K14" s="2" t="s">
        <v>25</v>
      </c>
      <c r="L14" s="5">
        <f>Table13[[#This Row],[Quantity]]*Table13[[#This Row],[UnitPrice]]</f>
        <v>40000</v>
      </c>
    </row>
    <row r="15" spans="1:12">
      <c r="A15" s="2">
        <v>1014</v>
      </c>
      <c r="B15" s="3">
        <v>45698</v>
      </c>
      <c r="C15" s="3" t="str">
        <f>TEXT(Table13[[#This Row],[OrderDate]],"mmmm")</f>
        <v>February</v>
      </c>
      <c r="D15" s="2" t="s">
        <v>10</v>
      </c>
      <c r="E15" s="2" t="s">
        <v>30</v>
      </c>
      <c r="F15" s="2" t="s">
        <v>18</v>
      </c>
      <c r="G15" s="2" t="s">
        <v>13</v>
      </c>
      <c r="H15" s="2" t="s">
        <v>14</v>
      </c>
      <c r="I15" s="2">
        <v>2</v>
      </c>
      <c r="J15" s="5">
        <v>65000</v>
      </c>
      <c r="K15" s="2" t="s">
        <v>32</v>
      </c>
      <c r="L15" s="5">
        <f>Table13[[#This Row],[Quantity]]*Table13[[#This Row],[UnitPrice]]</f>
        <v>130000</v>
      </c>
    </row>
    <row r="16" spans="1:12">
      <c r="A16" s="2">
        <v>1015</v>
      </c>
      <c r="B16" s="3">
        <v>45700</v>
      </c>
      <c r="C16" s="3" t="str">
        <f>TEXT(Table13[[#This Row],[OrderDate]],"mmmm")</f>
        <v>February</v>
      </c>
      <c r="D16" s="2" t="s">
        <v>21</v>
      </c>
      <c r="E16" s="2" t="s">
        <v>22</v>
      </c>
      <c r="F16" s="2" t="s">
        <v>12</v>
      </c>
      <c r="G16" s="2" t="s">
        <v>28</v>
      </c>
      <c r="H16" s="2" t="s">
        <v>37</v>
      </c>
      <c r="I16" s="2">
        <v>8</v>
      </c>
      <c r="J16" s="5">
        <v>2500</v>
      </c>
      <c r="K16" s="2" t="s">
        <v>15</v>
      </c>
      <c r="L16" s="5">
        <f>Table13[[#This Row],[Quantity]]*Table13[[#This Row],[UnitPrice]]</f>
        <v>20000</v>
      </c>
    </row>
    <row r="17" spans="1:12">
      <c r="A17" s="2">
        <v>1016</v>
      </c>
      <c r="B17" s="3">
        <v>45703</v>
      </c>
      <c r="C17" s="3" t="str">
        <f>TEXT(Table13[[#This Row],[OrderDate]],"mmmm")</f>
        <v>February</v>
      </c>
      <c r="D17" s="2" t="s">
        <v>26</v>
      </c>
      <c r="E17" s="2" t="s">
        <v>27</v>
      </c>
      <c r="F17" s="2" t="s">
        <v>18</v>
      </c>
      <c r="G17" s="2" t="s">
        <v>13</v>
      </c>
      <c r="H17" s="2" t="s">
        <v>31</v>
      </c>
      <c r="I17" s="2">
        <v>3</v>
      </c>
      <c r="J17" s="5">
        <v>18000</v>
      </c>
      <c r="K17" s="2" t="s">
        <v>20</v>
      </c>
      <c r="L17" s="5">
        <f>Table13[[#This Row],[Quantity]]*Table13[[#This Row],[UnitPrice]]</f>
        <v>54000</v>
      </c>
    </row>
    <row r="18" spans="1:12">
      <c r="A18" s="2">
        <v>1017</v>
      </c>
      <c r="B18" s="3">
        <v>45706</v>
      </c>
      <c r="C18" s="3" t="str">
        <f>TEXT(Table13[[#This Row],[OrderDate]],"mmmm")</f>
        <v>February</v>
      </c>
      <c r="D18" s="2" t="s">
        <v>10</v>
      </c>
      <c r="E18" s="2" t="s">
        <v>36</v>
      </c>
      <c r="F18" s="2" t="s">
        <v>12</v>
      </c>
      <c r="G18" s="2" t="s">
        <v>23</v>
      </c>
      <c r="H18" s="2" t="s">
        <v>35</v>
      </c>
      <c r="I18" s="2">
        <v>2</v>
      </c>
      <c r="J18" s="5">
        <v>15000</v>
      </c>
      <c r="K18" s="2" t="s">
        <v>15</v>
      </c>
      <c r="L18" s="5">
        <f>Table13[[#This Row],[Quantity]]*Table13[[#This Row],[UnitPrice]]</f>
        <v>30000</v>
      </c>
    </row>
    <row r="19" spans="1:12">
      <c r="A19" s="2">
        <v>1018</v>
      </c>
      <c r="B19" s="3">
        <v>45710</v>
      </c>
      <c r="C19" s="3" t="str">
        <f>TEXT(Table13[[#This Row],[OrderDate]],"mmmm")</f>
        <v>February</v>
      </c>
      <c r="D19" s="2" t="s">
        <v>16</v>
      </c>
      <c r="E19" s="2" t="s">
        <v>38</v>
      </c>
      <c r="F19" s="2" t="s">
        <v>18</v>
      </c>
      <c r="G19" s="2" t="s">
        <v>13</v>
      </c>
      <c r="H19" s="2" t="s">
        <v>19</v>
      </c>
      <c r="I19" s="2">
        <v>5</v>
      </c>
      <c r="J19" s="5">
        <v>25000</v>
      </c>
      <c r="K19" s="2" t="s">
        <v>32</v>
      </c>
      <c r="L19" s="5">
        <f>Table13[[#This Row],[Quantity]]*Table13[[#This Row],[UnitPrice]]</f>
        <v>125000</v>
      </c>
    </row>
    <row r="20" spans="1:12">
      <c r="A20" s="2">
        <v>1019</v>
      </c>
      <c r="B20" s="3">
        <v>45713</v>
      </c>
      <c r="C20" s="3" t="str">
        <f>TEXT(Table13[[#This Row],[OrderDate]],"mmmm")</f>
        <v>February</v>
      </c>
      <c r="D20" s="2" t="s">
        <v>33</v>
      </c>
      <c r="E20" s="2" t="s">
        <v>39</v>
      </c>
      <c r="F20" s="2" t="s">
        <v>12</v>
      </c>
      <c r="G20" s="2" t="s">
        <v>28</v>
      </c>
      <c r="H20" s="2" t="s">
        <v>29</v>
      </c>
      <c r="I20" s="2">
        <v>12</v>
      </c>
      <c r="J20" s="5">
        <v>1200</v>
      </c>
      <c r="K20" s="2" t="s">
        <v>25</v>
      </c>
      <c r="L20" s="5">
        <f>Table13[[#This Row],[Quantity]]*Table13[[#This Row],[UnitPrice]]</f>
        <v>14400</v>
      </c>
    </row>
    <row r="21" spans="1:12">
      <c r="A21" s="2">
        <v>1020</v>
      </c>
      <c r="B21" s="3">
        <v>45716</v>
      </c>
      <c r="C21" s="3" t="str">
        <f>TEXT(Table13[[#This Row],[OrderDate]],"mmmm")</f>
        <v>February</v>
      </c>
      <c r="D21" s="2" t="s">
        <v>10</v>
      </c>
      <c r="E21" s="2" t="s">
        <v>40</v>
      </c>
      <c r="F21" s="2" t="s">
        <v>18</v>
      </c>
      <c r="G21" s="2" t="s">
        <v>13</v>
      </c>
      <c r="H21" s="2" t="s">
        <v>14</v>
      </c>
      <c r="I21" s="2">
        <v>1</v>
      </c>
      <c r="J21" s="5">
        <v>65000</v>
      </c>
      <c r="K21" s="2" t="s">
        <v>15</v>
      </c>
      <c r="L21" s="5">
        <f>Table13[[#This Row],[Quantity]]*Table13[[#This Row],[UnitPrice]]</f>
        <v>65000</v>
      </c>
    </row>
    <row r="22" spans="1:12">
      <c r="A22" s="2">
        <v>1021</v>
      </c>
      <c r="B22" s="3">
        <v>45719</v>
      </c>
      <c r="C22" s="3" t="str">
        <f>TEXT(Table13[[#This Row],[OrderDate]],"mmmm")</f>
        <v>March</v>
      </c>
      <c r="D22" s="2" t="s">
        <v>10</v>
      </c>
      <c r="E22" s="2" t="s">
        <v>11</v>
      </c>
      <c r="F22" s="2" t="s">
        <v>12</v>
      </c>
      <c r="G22" s="2" t="s">
        <v>23</v>
      </c>
      <c r="H22" s="2" t="s">
        <v>24</v>
      </c>
      <c r="I22" s="2">
        <v>4</v>
      </c>
      <c r="J22" s="5">
        <v>8000</v>
      </c>
      <c r="K22" s="2" t="s">
        <v>32</v>
      </c>
      <c r="L22" s="5">
        <f>Table13[[#This Row],[Quantity]]*Table13[[#This Row],[UnitPrice]]</f>
        <v>32000</v>
      </c>
    </row>
    <row r="23" spans="1:12">
      <c r="A23" s="2">
        <v>1022</v>
      </c>
      <c r="B23" s="3">
        <v>45721</v>
      </c>
      <c r="C23" s="3" t="str">
        <f>TEXT(Table13[[#This Row],[OrderDate]],"mmmm")</f>
        <v>March</v>
      </c>
      <c r="D23" s="2" t="s">
        <v>16</v>
      </c>
      <c r="E23" s="2" t="s">
        <v>17</v>
      </c>
      <c r="F23" s="2" t="s">
        <v>18</v>
      </c>
      <c r="G23" s="2" t="s">
        <v>13</v>
      </c>
      <c r="H23" s="2" t="s">
        <v>31</v>
      </c>
      <c r="I23" s="2">
        <v>6</v>
      </c>
      <c r="J23" s="5">
        <v>18000</v>
      </c>
      <c r="K23" s="2" t="s">
        <v>20</v>
      </c>
      <c r="L23" s="5">
        <f>Table13[[#This Row],[Quantity]]*Table13[[#This Row],[UnitPrice]]</f>
        <v>108000</v>
      </c>
    </row>
    <row r="24" spans="1:12">
      <c r="A24" s="2">
        <v>1023</v>
      </c>
      <c r="B24" s="3">
        <v>45724</v>
      </c>
      <c r="C24" s="3" t="str">
        <f>TEXT(Table13[[#This Row],[OrderDate]],"mmmm")</f>
        <v>March</v>
      </c>
      <c r="D24" s="2" t="s">
        <v>21</v>
      </c>
      <c r="E24" s="2" t="s">
        <v>22</v>
      </c>
      <c r="F24" s="2" t="s">
        <v>12</v>
      </c>
      <c r="G24" s="2" t="s">
        <v>13</v>
      </c>
      <c r="H24" s="2" t="s">
        <v>19</v>
      </c>
      <c r="I24" s="2">
        <v>2</v>
      </c>
      <c r="J24" s="5">
        <v>25000</v>
      </c>
      <c r="K24" s="2" t="s">
        <v>15</v>
      </c>
      <c r="L24" s="5">
        <f>Table13[[#This Row],[Quantity]]*Table13[[#This Row],[UnitPrice]]</f>
        <v>50000</v>
      </c>
    </row>
    <row r="25" spans="1:12">
      <c r="A25" s="2">
        <v>1024</v>
      </c>
      <c r="B25" s="3">
        <v>45727</v>
      </c>
      <c r="C25" s="3" t="str">
        <f>TEXT(Table13[[#This Row],[OrderDate]],"mmmm")</f>
        <v>March</v>
      </c>
      <c r="D25" s="2" t="s">
        <v>26</v>
      </c>
      <c r="E25" s="2" t="s">
        <v>27</v>
      </c>
      <c r="F25" s="2" t="s">
        <v>18</v>
      </c>
      <c r="G25" s="2" t="s">
        <v>28</v>
      </c>
      <c r="H25" s="2" t="s">
        <v>37</v>
      </c>
      <c r="I25" s="2">
        <v>10</v>
      </c>
      <c r="J25" s="5">
        <v>2500</v>
      </c>
      <c r="K25" s="2" t="s">
        <v>20</v>
      </c>
      <c r="L25" s="5">
        <f>Table13[[#This Row],[Quantity]]*Table13[[#This Row],[UnitPrice]]</f>
        <v>25000</v>
      </c>
    </row>
    <row r="26" spans="1:12">
      <c r="A26" s="2">
        <v>1025</v>
      </c>
      <c r="B26" s="3">
        <v>45731</v>
      </c>
      <c r="C26" s="3" t="str">
        <f>TEXT(Table13[[#This Row],[OrderDate]],"mmmm")</f>
        <v>March</v>
      </c>
      <c r="D26" s="2" t="s">
        <v>33</v>
      </c>
      <c r="E26" s="2" t="s">
        <v>34</v>
      </c>
      <c r="F26" s="2" t="s">
        <v>12</v>
      </c>
      <c r="G26" s="2" t="s">
        <v>23</v>
      </c>
      <c r="H26" s="2" t="s">
        <v>35</v>
      </c>
      <c r="I26" s="2">
        <v>3</v>
      </c>
      <c r="J26" s="5">
        <v>15000</v>
      </c>
      <c r="K26" s="2" t="s">
        <v>25</v>
      </c>
      <c r="L26" s="5">
        <f>Table13[[#This Row],[Quantity]]*Table13[[#This Row],[UnitPrice]]</f>
        <v>45000</v>
      </c>
    </row>
    <row r="27" spans="1:12">
      <c r="A27" s="2">
        <v>1026</v>
      </c>
      <c r="B27" s="3">
        <v>45734</v>
      </c>
      <c r="C27" s="3" t="str">
        <f>TEXT(Table13[[#This Row],[OrderDate]],"mmmm")</f>
        <v>March</v>
      </c>
      <c r="D27" s="2" t="s">
        <v>10</v>
      </c>
      <c r="E27" s="2" t="s">
        <v>30</v>
      </c>
      <c r="F27" s="2" t="s">
        <v>18</v>
      </c>
      <c r="G27" s="2" t="s">
        <v>13</v>
      </c>
      <c r="H27" s="2" t="s">
        <v>14</v>
      </c>
      <c r="I27" s="2">
        <v>2</v>
      </c>
      <c r="J27" s="5">
        <v>65000</v>
      </c>
      <c r="K27" s="2" t="s">
        <v>32</v>
      </c>
      <c r="L27" s="5">
        <f>Table13[[#This Row],[Quantity]]*Table13[[#This Row],[UnitPrice]]</f>
        <v>130000</v>
      </c>
    </row>
    <row r="28" spans="1:12">
      <c r="A28" s="2">
        <v>1027</v>
      </c>
      <c r="B28" s="3">
        <v>45737</v>
      </c>
      <c r="C28" s="3" t="str">
        <f>TEXT(Table13[[#This Row],[OrderDate]],"mmmm")</f>
        <v>March</v>
      </c>
      <c r="D28" s="2" t="s">
        <v>16</v>
      </c>
      <c r="E28" s="2" t="s">
        <v>38</v>
      </c>
      <c r="F28" s="2" t="s">
        <v>12</v>
      </c>
      <c r="G28" s="2" t="s">
        <v>28</v>
      </c>
      <c r="H28" s="2" t="s">
        <v>29</v>
      </c>
      <c r="I28" s="2">
        <v>20</v>
      </c>
      <c r="J28" s="5">
        <v>1200</v>
      </c>
      <c r="K28" s="2" t="s">
        <v>15</v>
      </c>
      <c r="L28" s="5">
        <f>Table13[[#This Row],[Quantity]]*Table13[[#This Row],[UnitPrice]]</f>
        <v>24000</v>
      </c>
    </row>
    <row r="29" spans="1:12">
      <c r="A29" s="2">
        <v>1028</v>
      </c>
      <c r="B29" s="3">
        <v>45740</v>
      </c>
      <c r="C29" s="3" t="str">
        <f>TEXT(Table13[[#This Row],[OrderDate]],"mmmm")</f>
        <v>March</v>
      </c>
      <c r="D29" s="2" t="s">
        <v>21</v>
      </c>
      <c r="E29" s="2" t="s">
        <v>39</v>
      </c>
      <c r="F29" s="2" t="s">
        <v>18</v>
      </c>
      <c r="G29" s="2" t="s">
        <v>13</v>
      </c>
      <c r="H29" s="2" t="s">
        <v>19</v>
      </c>
      <c r="I29" s="2">
        <v>4</v>
      </c>
      <c r="J29" s="5">
        <v>25000</v>
      </c>
      <c r="K29" s="2" t="s">
        <v>32</v>
      </c>
      <c r="L29" s="5">
        <f>Table13[[#This Row],[Quantity]]*Table13[[#This Row],[UnitPrice]]</f>
        <v>100000</v>
      </c>
    </row>
    <row r="30" spans="1:12">
      <c r="A30" s="2">
        <v>1029</v>
      </c>
      <c r="B30" s="3">
        <v>45743</v>
      </c>
      <c r="C30" s="3" t="str">
        <f>TEXT(Table13[[#This Row],[OrderDate]],"mmmm")</f>
        <v>March</v>
      </c>
      <c r="D30" s="2" t="s">
        <v>10</v>
      </c>
      <c r="E30" s="2" t="s">
        <v>36</v>
      </c>
      <c r="F30" s="2" t="s">
        <v>12</v>
      </c>
      <c r="G30" s="2" t="s">
        <v>23</v>
      </c>
      <c r="H30" s="2" t="s">
        <v>24</v>
      </c>
      <c r="I30" s="2">
        <v>5</v>
      </c>
      <c r="J30" s="5">
        <v>8000</v>
      </c>
      <c r="K30" s="2" t="s">
        <v>15</v>
      </c>
      <c r="L30" s="5">
        <f>Table13[[#This Row],[Quantity]]*Table13[[#This Row],[UnitPrice]]</f>
        <v>40000</v>
      </c>
    </row>
    <row r="31" spans="1:12">
      <c r="A31" s="2">
        <v>1030</v>
      </c>
      <c r="B31" s="3">
        <v>45746</v>
      </c>
      <c r="C31" s="3" t="str">
        <f>TEXT(Table13[[#This Row],[OrderDate]],"mmmm")</f>
        <v>March</v>
      </c>
      <c r="D31" s="2" t="s">
        <v>26</v>
      </c>
      <c r="E31" s="2" t="s">
        <v>40</v>
      </c>
      <c r="F31" s="2" t="s">
        <v>18</v>
      </c>
      <c r="G31" s="2" t="s">
        <v>13</v>
      </c>
      <c r="H31" s="2" t="s">
        <v>31</v>
      </c>
      <c r="I31" s="2">
        <v>2</v>
      </c>
      <c r="J31" s="5">
        <v>18000</v>
      </c>
      <c r="K31" s="2" t="s">
        <v>20</v>
      </c>
      <c r="L31" s="5">
        <f>Table13[[#This Row],[Quantity]]*Table13[[#This Row],[UnitPrice]]</f>
        <v>36000</v>
      </c>
    </row>
    <row r="33" spans="11:12">
      <c r="K33" s="6"/>
      <c r="L33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D3FEB-0A6C-4907-90C1-5F58249E8440}">
  <dimension ref="A11:I28"/>
  <sheetViews>
    <sheetView workbookViewId="0">
      <selection activeCell="A12" sqref="A12"/>
    </sheetView>
  </sheetViews>
  <sheetFormatPr defaultRowHeight="15"/>
  <cols>
    <col min="1" max="1" width="11.42578125" bestFit="1" customWidth="1"/>
    <col min="2" max="2" width="17.140625" bestFit="1" customWidth="1"/>
    <col min="4" max="4" width="19" bestFit="1" customWidth="1"/>
    <col min="5" max="5" width="17.140625" bestFit="1" customWidth="1"/>
    <col min="6" max="6" width="11.7109375" bestFit="1" customWidth="1"/>
    <col min="7" max="7" width="19.140625" bestFit="1" customWidth="1"/>
    <col min="8" max="8" width="17.140625" style="6" bestFit="1" customWidth="1"/>
    <col min="9" max="9" width="15.7109375" style="10" bestFit="1" customWidth="1"/>
    <col min="10" max="10" width="10.7109375" bestFit="1" customWidth="1"/>
    <col min="11" max="14" width="11.7109375" bestFit="1" customWidth="1"/>
    <col min="15" max="15" width="13.42578125" bestFit="1" customWidth="1"/>
  </cols>
  <sheetData>
    <row r="11" spans="1:9">
      <c r="A11" s="7" t="s">
        <v>2</v>
      </c>
      <c r="B11" t="s">
        <v>43</v>
      </c>
      <c r="D11" s="7" t="s">
        <v>5</v>
      </c>
      <c r="E11" t="s">
        <v>43</v>
      </c>
      <c r="G11" s="7" t="s">
        <v>9</v>
      </c>
      <c r="H11" s="6" t="s">
        <v>43</v>
      </c>
      <c r="I11" s="11"/>
    </row>
    <row r="12" spans="1:9">
      <c r="A12" t="s">
        <v>10</v>
      </c>
      <c r="B12" s="6">
        <v>712000</v>
      </c>
      <c r="D12" t="s">
        <v>13</v>
      </c>
      <c r="E12" s="6">
        <v>1308000</v>
      </c>
      <c r="G12" t="s">
        <v>32</v>
      </c>
      <c r="H12" s="6">
        <v>672000</v>
      </c>
    </row>
    <row r="13" spans="1:9">
      <c r="A13" t="s">
        <v>16</v>
      </c>
      <c r="B13" s="6">
        <v>415000</v>
      </c>
      <c r="D13" t="s">
        <v>23</v>
      </c>
      <c r="E13" s="6">
        <v>294000</v>
      </c>
      <c r="G13" t="s">
        <v>15</v>
      </c>
      <c r="H13" s="6">
        <v>536000</v>
      </c>
    </row>
    <row r="14" spans="1:9">
      <c r="A14" t="s">
        <v>21</v>
      </c>
      <c r="B14" s="6">
        <v>302000</v>
      </c>
      <c r="D14" t="s">
        <v>28</v>
      </c>
      <c r="E14" s="6">
        <v>128400</v>
      </c>
      <c r="G14" t="s">
        <v>20</v>
      </c>
      <c r="H14" s="6">
        <v>361000</v>
      </c>
    </row>
    <row r="15" spans="1:9">
      <c r="A15" t="s">
        <v>26</v>
      </c>
      <c r="B15" s="6">
        <v>172000</v>
      </c>
      <c r="D15" t="s">
        <v>44</v>
      </c>
      <c r="E15" s="6">
        <v>1730400</v>
      </c>
      <c r="G15" t="s">
        <v>25</v>
      </c>
      <c r="H15" s="6">
        <v>161400</v>
      </c>
    </row>
    <row r="16" spans="1:9">
      <c r="A16" t="s">
        <v>33</v>
      </c>
      <c r="B16" s="6">
        <v>129400</v>
      </c>
      <c r="E16" t="s">
        <v>45</v>
      </c>
      <c r="G16" t="s">
        <v>44</v>
      </c>
      <c r="H16" s="6">
        <v>1730400</v>
      </c>
    </row>
    <row r="17" spans="1:5">
      <c r="A17" t="s">
        <v>44</v>
      </c>
      <c r="B17" s="6">
        <v>1730400</v>
      </c>
      <c r="D17" s="7" t="s">
        <v>3</v>
      </c>
      <c r="E17" t="s">
        <v>43</v>
      </c>
    </row>
    <row r="18" spans="1:5">
      <c r="D18" t="s">
        <v>30</v>
      </c>
      <c r="E18" s="6">
        <v>350000</v>
      </c>
    </row>
    <row r="19" spans="1:5">
      <c r="D19" t="s">
        <v>39</v>
      </c>
      <c r="E19" s="6">
        <v>214400</v>
      </c>
    </row>
    <row r="20" spans="1:5">
      <c r="A20" s="7" t="s">
        <v>41</v>
      </c>
      <c r="B20" t="s">
        <v>43</v>
      </c>
      <c r="D20" t="s">
        <v>38</v>
      </c>
      <c r="E20" s="6">
        <v>214000</v>
      </c>
    </row>
    <row r="21" spans="1:5">
      <c r="A21" t="s">
        <v>46</v>
      </c>
      <c r="B21" s="6">
        <v>594000</v>
      </c>
      <c r="D21" t="s">
        <v>11</v>
      </c>
      <c r="E21" s="6">
        <v>212000</v>
      </c>
    </row>
    <row r="22" spans="1:5">
      <c r="A22" t="s">
        <v>47</v>
      </c>
      <c r="B22" s="6">
        <v>546400</v>
      </c>
      <c r="D22" t="s">
        <v>17</v>
      </c>
      <c r="E22" s="6">
        <v>201000</v>
      </c>
    </row>
    <row r="23" spans="1:5">
      <c r="A23" t="s">
        <v>48</v>
      </c>
      <c r="B23" s="6">
        <v>590000</v>
      </c>
      <c r="D23" t="s">
        <v>40</v>
      </c>
      <c r="E23" s="6">
        <v>146000</v>
      </c>
    </row>
    <row r="24" spans="1:5">
      <c r="A24" t="s">
        <v>44</v>
      </c>
      <c r="B24" s="6">
        <v>1730400</v>
      </c>
      <c r="D24" t="s">
        <v>34</v>
      </c>
      <c r="E24" s="6">
        <v>115000</v>
      </c>
    </row>
    <row r="25" spans="1:5">
      <c r="D25" t="s">
        <v>22</v>
      </c>
      <c r="E25" s="6">
        <v>102000</v>
      </c>
    </row>
    <row r="26" spans="1:5">
      <c r="D26" t="s">
        <v>27</v>
      </c>
      <c r="E26" s="6">
        <v>91000</v>
      </c>
    </row>
    <row r="27" spans="1:5">
      <c r="D27" t="s">
        <v>36</v>
      </c>
      <c r="E27" s="6">
        <v>85000</v>
      </c>
    </row>
    <row r="28" spans="1:5">
      <c r="D28" t="s">
        <v>44</v>
      </c>
      <c r="E28" s="6">
        <v>1730400</v>
      </c>
    </row>
  </sheetData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8B9F7-545A-45C1-9895-02AF39D6B951}">
  <dimension ref="A2:C4"/>
  <sheetViews>
    <sheetView workbookViewId="0">
      <selection activeCell="B2" sqref="B2"/>
    </sheetView>
  </sheetViews>
  <sheetFormatPr defaultRowHeight="15"/>
  <cols>
    <col min="1" max="1" width="14.42578125" bestFit="1" customWidth="1"/>
    <col min="2" max="2" width="13.28515625" bestFit="1" customWidth="1"/>
    <col min="3" max="3" width="10.5703125" bestFit="1" customWidth="1"/>
  </cols>
  <sheetData>
    <row r="2" spans="1:3">
      <c r="A2" t="s">
        <v>49</v>
      </c>
      <c r="B2">
        <f>COUNTA(Table13[OrderID])</f>
        <v>30</v>
      </c>
    </row>
    <row r="3" spans="1:3">
      <c r="A3" t="s">
        <v>50</v>
      </c>
      <c r="B3" s="6">
        <f>SUM(Table13[Total Sales])</f>
        <v>1730400</v>
      </c>
    </row>
    <row r="4" spans="1:3">
      <c r="A4" t="s">
        <v>51</v>
      </c>
      <c r="B4" s="6">
        <f>AVERAGE(Table13[Total Sales])</f>
        <v>57680</v>
      </c>
      <c r="C4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00637-1BBB-4B98-AFFB-F379838F66FC}">
  <dimension ref="A1:L10"/>
  <sheetViews>
    <sheetView showGridLines="0" tabSelected="1" workbookViewId="0">
      <selection activeCell="N3" sqref="N3"/>
    </sheetView>
  </sheetViews>
  <sheetFormatPr defaultRowHeight="15"/>
  <cols>
    <col min="9" max="9" width="9.7109375" bestFit="1" customWidth="1"/>
    <col min="12" max="12" width="9.7109375" bestFit="1" customWidth="1"/>
  </cols>
  <sheetData>
    <row r="1" spans="1:12" ht="31.5">
      <c r="A1" s="12" t="s">
        <v>52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4" spans="1:12">
      <c r="I4" s="14"/>
      <c r="J4" s="14"/>
    </row>
    <row r="5" spans="1:12">
      <c r="L5" s="14"/>
    </row>
    <row r="6" spans="1:12">
      <c r="L6" s="14"/>
    </row>
    <row r="9" spans="1:12">
      <c r="I9" s="14"/>
    </row>
    <row r="10" spans="1:12">
      <c r="I10" s="14"/>
    </row>
  </sheetData>
  <mergeCells count="4">
    <mergeCell ref="A1:K1"/>
    <mergeCell ref="I4:J4"/>
    <mergeCell ref="I9:I10"/>
    <mergeCell ref="L5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2026-06-13T12:14:35Z</dcterms:created>
  <dcterms:modified xsi:type="dcterms:W3CDTF">2026-06-15T13:37:32Z</dcterms:modified>
  <cp:category/>
  <cp:contentStatus/>
</cp:coreProperties>
</file>